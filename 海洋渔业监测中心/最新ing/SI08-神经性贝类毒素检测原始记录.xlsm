
<file path=[Content_Types].xml><?xml version="1.0" encoding="utf-8"?>
<Types xmlns="http://schemas.openxmlformats.org/package/2006/content-types">
  <Default Extension="vml" ContentType="application/vnd.openxmlformats-officedocument.vmlDrawing"/>
  <Default Extension="bin" ContentType="application/vnd.openxmlformats-officedocument.oleObject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8k+uVTleSeB4oBbuk8VHJaknQ8SOcWa7k81aWaFA1VB9PBNOpzpozexkUwwWlfRZI7WZM9MMgdhimH9Il/BKgg==" workbookSaltValue="ZDMXW7uzF8uukzVVY4nNPw==" workbookSpinCount="100000" lockStructure="1"/>
  <bookViews>
    <workbookView windowWidth="22943" windowHeight="10308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<sst xmlns="http://schemas.openxmlformats.org/spreadsheetml/2006/main" count="55">
  <si>
    <r>
      <rPr>
        <b/>
        <sz val="11"/>
        <color theme="0"/>
        <rFont val="宋体"/>
        <charset val="134"/>
      </rPr>
      <t>基本信息</t>
    </r>
  </si>
  <si>
    <t xml:space="preserve"> </t>
  </si>
  <si>
    <t>注射量</t>
  </si>
  <si>
    <t>科学</t>
  </si>
  <si>
    <t>严谨</t>
  </si>
  <si>
    <t>任务号</t>
  </si>
  <si>
    <t>任务名称</t>
  </si>
  <si>
    <t>检测项目</t>
  </si>
  <si>
    <t>样品类别</t>
  </si>
  <si>
    <t>安全</t>
  </si>
  <si>
    <t>高效</t>
  </si>
  <si>
    <t>检测地点</t>
  </si>
  <si>
    <t>检测依据</t>
  </si>
  <si>
    <t>仪器名称及编号</t>
  </si>
  <si>
    <t>仪器型号</t>
  </si>
  <si>
    <r>
      <rPr>
        <b/>
        <sz val="11"/>
        <color theme="1"/>
        <rFont val="宋体"/>
        <charset val="134"/>
      </rPr>
      <t>说明：</t>
    </r>
  </si>
  <si>
    <t>天平编号</t>
  </si>
  <si>
    <r>
      <rPr>
        <sz val="11"/>
        <color rgb="FFFF0000"/>
        <rFont val="宋体"/>
        <charset val="134"/>
      </rPr>
      <t>为需填写内容</t>
    </r>
  </si>
  <si>
    <t>温度(℃)</t>
  </si>
  <si>
    <r>
      <rPr>
        <sz val="11"/>
        <color theme="1"/>
        <rFont val="宋体"/>
        <charset val="134"/>
      </rPr>
      <t>湿度</t>
    </r>
    <r>
      <rPr>
        <sz val="11"/>
        <color theme="1"/>
        <rFont val="Times New Roman"/>
        <charset val="134"/>
      </rPr>
      <t>(%)</t>
    </r>
  </si>
  <si>
    <r>
      <rPr>
        <sz val="11"/>
        <color rgb="FFFF0000"/>
        <rFont val="宋体"/>
        <charset val="134"/>
      </rPr>
      <t>为不需要填写</t>
    </r>
  </si>
  <si>
    <t>小鼠批号</t>
  </si>
  <si>
    <r>
      <rPr>
        <sz val="11"/>
        <color rgb="FFFF0000"/>
        <rFont val="宋体"/>
        <charset val="134"/>
      </rPr>
      <t>为质控模块</t>
    </r>
  </si>
  <si>
    <t>小鼠品系</t>
  </si>
  <si>
    <t>检测日期</t>
  </si>
  <si>
    <t>称样量（g）</t>
  </si>
  <si>
    <t>毒力计算公式</t>
  </si>
  <si>
    <t>备注</t>
  </si>
  <si>
    <t>签名</t>
  </si>
  <si>
    <t>检测人</t>
  </si>
  <si>
    <t>校核人</t>
  </si>
  <si>
    <t>审核人</t>
  </si>
  <si>
    <t>检测信息</t>
  </si>
  <si>
    <t>序号</t>
  </si>
  <si>
    <t>样品编号</t>
  </si>
  <si>
    <t>稀释倍数DF</t>
  </si>
  <si>
    <t>小鼠
序号</t>
  </si>
  <si>
    <t>小鼠
重量
(g)</t>
  </si>
  <si>
    <t>重量
校正
系数
k</t>
  </si>
  <si>
    <t>注射时间
(h:min)</t>
  </si>
  <si>
    <t>死亡时间
(h:min)</t>
  </si>
  <si>
    <t>间隔时间
(h:min)</t>
  </si>
  <si>
    <t>鼠单位
M
(MU)</t>
  </si>
  <si>
    <t>校正鼠单位</t>
  </si>
  <si>
    <t>中位数校正鼠单位(CMU)</t>
  </si>
  <si>
    <t>毒素含量
X
(MU/g)</t>
  </si>
  <si>
    <t>质控</t>
  </si>
  <si>
    <t>标样推荐值/加标浓度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</si>
  <si>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</si>
  <si>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</si>
  <si>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</si>
  <si>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</si>
  <si>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1</t>
  </si>
  <si>
    <t>2</t>
  </si>
  <si>
    <t>3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</si>
</sst>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176" formatCode="0.00_ "/>
    <numFmt numFmtId="177" formatCode="0.000_ "/>
    <numFmt numFmtId="178" formatCode="0.0_ "/>
    <numFmt numFmtId="44" formatCode="_ &quot;￥&quot;* #,##0.00_ ;_ &quot;￥&quot;* \-#,##0.00_ ;_ &quot;￥&quot;* &quot;-&quot;??_ ;_ @_ "/>
    <numFmt numFmtId="179" formatCode="0.0_ ;[Red]\-0.0\ "/>
  </numFmts>
  <fonts count="34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u/>
      <sz val="11"/>
      <color rgb="FF0000FF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2" fillId="19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0" fillId="26" borderId="21" applyNumberFormat="0" applyFont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5" fillId="0" borderId="20" applyNumberFormat="0" applyFill="0" applyAlignment="0" applyProtection="0">
      <alignment vertical="center"/>
    </xf>
    <xf numFmtId="0" fontId="30" fillId="0" borderId="20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24" fillId="18" borderId="19" applyNumberFormat="0" applyAlignment="0" applyProtection="0">
      <alignment vertical="center"/>
    </xf>
    <xf numFmtId="0" fontId="21" fillId="18" borderId="18" applyNumberFormat="0" applyAlignment="0" applyProtection="0">
      <alignment vertical="center"/>
    </xf>
    <xf numFmtId="0" fontId="20" fillId="15" borderId="17" applyNumberFormat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9" fillId="0" borderId="22" applyNumberFormat="0" applyFill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3" fillId="0" borderId="0"/>
  </cellStyleXfs>
  <cellXfs count="81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center" vertical="center"/>
      <protection locked="0"/>
    </xf>
    <xf numFmtId="49" fontId="2" fillId="6" borderId="3" xfId="49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4" xfId="0" applyFont="1" applyFill="1" applyBorder="1" applyAlignment="1" applyProtection="1">
      <alignment horizontal="center" vertical="center" wrapText="1"/>
      <protection locked="0"/>
    </xf>
    <xf numFmtId="177" fontId="1" fillId="4" borderId="1" xfId="0" applyNumberFormat="1" applyFont="1" applyFill="1" applyBorder="1" applyAlignment="1" applyProtection="1">
      <alignment horizontal="center" vertical="center"/>
      <protection locked="0"/>
    </xf>
    <xf numFmtId="177" fontId="1" fillId="4" borderId="4" xfId="0" applyNumberFormat="1" applyFont="1" applyFill="1" applyBorder="1" applyAlignment="1" applyProtection="1">
      <alignment horizontal="center" vertical="center"/>
      <protection locked="0"/>
    </xf>
    <xf numFmtId="176" fontId="1" fillId="4" borderId="4" xfId="0" applyNumberFormat="1" applyFont="1" applyFill="1" applyBorder="1" applyAlignment="1" applyProtection="1">
      <alignment horizontal="center" vertical="center"/>
      <protection locked="0"/>
    </xf>
    <xf numFmtId="177" fontId="1" fillId="4" borderId="6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177" fontId="1" fillId="4" borderId="5" xfId="0" applyNumberFormat="1" applyFont="1" applyFill="1" applyBorder="1" applyAlignment="1" applyProtection="1">
      <alignment horizontal="center" vertical="center"/>
      <protection locked="0"/>
    </xf>
    <xf numFmtId="176" fontId="1" fillId="4" borderId="5" xfId="0" applyNumberFormat="1" applyFont="1" applyFill="1" applyBorder="1" applyAlignment="1" applyProtection="1">
      <alignment horizontal="center" vertical="center"/>
      <protection locked="0"/>
    </xf>
    <xf numFmtId="0" fontId="3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4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1" xfId="0" applyNumberFormat="1" applyFont="1" applyFill="1" applyBorder="1" applyAlignment="1" applyProtection="1">
      <alignment vertical="center"/>
      <protection locked="0"/>
    </xf>
    <xf numFmtId="0" fontId="1" fillId="4" borderId="4" xfId="0" applyNumberFormat="1" applyFont="1" applyFill="1" applyBorder="1" applyAlignment="1" applyProtection="1">
      <alignment horizontal="center" vertical="center"/>
      <protection locked="0"/>
    </xf>
    <xf numFmtId="0" fontId="1" fillId="4" borderId="6" xfId="0" applyNumberFormat="1" applyFont="1" applyFill="1" applyBorder="1" applyAlignment="1" applyProtection="1">
      <alignment horizontal="center" vertical="center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8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1" fillId="3" borderId="8" xfId="0" applyNumberFormat="1" applyFont="1" applyFill="1" applyBorder="1" applyAlignment="1" applyProtection="1">
      <alignment horizontal="center" vertical="center"/>
      <protection locked="0"/>
    </xf>
    <xf numFmtId="49" fontId="1" fillId="3" borderId="9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49" fontId="5" fillId="3" borderId="8" xfId="0" applyNumberFormat="1" applyFont="1" applyFill="1" applyBorder="1" applyAlignment="1" applyProtection="1">
      <alignment horizontal="center" vertical="center"/>
      <protection locked="0"/>
    </xf>
    <xf numFmtId="49" fontId="5" fillId="3" borderId="9" xfId="0" applyNumberFormat="1" applyFont="1" applyFill="1" applyBorder="1" applyAlignment="1" applyProtection="1">
      <alignment horizontal="center" vertical="center"/>
      <protection locked="0"/>
    </xf>
    <xf numFmtId="179" fontId="1" fillId="8" borderId="0" xfId="0" applyNumberFormat="1" applyFont="1" applyFill="1" applyBorder="1" applyAlignment="1" applyProtection="1">
      <alignment horizontal="center" vertical="center"/>
      <protection locked="0"/>
    </xf>
    <xf numFmtId="178" fontId="1" fillId="4" borderId="7" xfId="0" applyNumberFormat="1" applyFont="1" applyFill="1" applyBorder="1" applyAlignment="1" applyProtection="1">
      <alignment horizontal="center" vertical="center"/>
      <protection locked="0"/>
    </xf>
    <xf numFmtId="178" fontId="1" fillId="4" borderId="8" xfId="0" applyNumberFormat="1" applyFont="1" applyFill="1" applyBorder="1" applyAlignment="1" applyProtection="1">
      <alignment horizontal="center" vertical="center"/>
      <protection locked="0"/>
    </xf>
    <xf numFmtId="178" fontId="1" fillId="4" borderId="9" xfId="0" applyNumberFormat="1" applyFont="1" applyFill="1" applyBorder="1" applyAlignment="1" applyProtection="1">
      <alignment horizontal="center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8" fontId="5" fillId="4" borderId="1" xfId="0" applyNumberFormat="1" applyFont="1" applyFill="1" applyBorder="1" applyAlignment="1" applyProtection="1">
      <alignment horizontal="left" vertical="center"/>
      <protection locked="0"/>
    </xf>
    <xf numFmtId="178" fontId="5" fillId="4" borderId="8" xfId="0" applyNumberFormat="1" applyFont="1" applyFill="1" applyBorder="1" applyAlignment="1" applyProtection="1">
      <alignment horizontal="right" vertical="center"/>
      <protection locked="0"/>
    </xf>
    <xf numFmtId="49" fontId="5" fillId="7" borderId="10" xfId="0" applyNumberFormat="1" applyFont="1" applyFill="1" applyBorder="1" applyAlignment="1">
      <alignment horizontal="center" vertical="center"/>
    </xf>
    <xf numFmtId="49" fontId="5" fillId="4" borderId="10" xfId="0" applyNumberFormat="1" applyFont="1" applyFill="1" applyBorder="1" applyAlignment="1">
      <alignment horizontal="center" vertical="center" wrapText="1"/>
    </xf>
    <xf numFmtId="49" fontId="5" fillId="4" borderId="11" xfId="0" applyNumberFormat="1" applyFont="1" applyFill="1" applyBorder="1" applyAlignment="1">
      <alignment horizontal="center" vertical="center" wrapText="1"/>
    </xf>
    <xf numFmtId="49" fontId="5" fillId="4" borderId="12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8" fillId="6" borderId="7" xfId="0" applyNumberFormat="1" applyFont="1" applyFill="1" applyBorder="1" applyAlignment="1" applyProtection="1">
      <alignment horizontal="left" vertical="center"/>
      <protection locked="0"/>
    </xf>
    <xf numFmtId="49" fontId="8" fillId="6" borderId="3" xfId="0" applyNumberFormat="1" applyFont="1" applyFill="1" applyBorder="1" applyAlignment="1" applyProtection="1">
      <alignment horizontal="left" vertical="center"/>
      <protection locked="0"/>
    </xf>
    <xf numFmtId="49" fontId="8" fillId="6" borderId="13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9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0" fillId="2" borderId="14" xfId="0" applyNumberFormat="1" applyFont="1" applyFill="1" applyBorder="1" applyAlignment="1" applyProtection="1"/>
    <xf numFmtId="49" fontId="1" fillId="2" borderId="14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1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5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0069830" y="432435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1540490" y="4093845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4</xdr:col>
      <xdr:colOff>772795</xdr:colOff>
      <xdr:row>22</xdr:row>
      <xdr:rowOff>258445</xdr:rowOff>
    </xdr:from>
    <xdr:ext cx="65" cy="172227"/>
    <xdr:sp>
      <xdr:nvSpPr>
        <xdr:cNvPr id="4" name="文本框 3"/>
        <xdr:cNvSpPr txBox="1"/>
      </xdr:nvSpPr>
      <xdr:spPr>
        <a:xfrm>
          <a:off x="5253355" y="715645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69028</xdr:colOff>
          <xdr:row>16</xdr:row>
          <xdr:rowOff>16137</xdr:rowOff>
        </xdr:from>
        <xdr:to>
          <xdr:col>3</xdr:col>
          <xdr:colOff>368001</xdr:colOff>
          <xdr:row>17</xdr:row>
          <xdr:rowOff>0</xdr:rowOff>
        </xdr:to>
        <xdr:sp>
          <xdr:nvSpPr>
            <xdr:cNvPr id="1025" name="Object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644140" y="4673600"/>
              <a:ext cx="1312545" cy="39560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P23"/>
  <sheetViews>
    <sheetView tabSelected="1" zoomScale="85" zoomScaleNormal="85" workbookViewId="0">
      <selection activeCell="K17" sqref="K17"/>
    </sheetView>
  </sheetViews>
  <sheetFormatPr defaultColWidth="9" defaultRowHeight="20.25" customHeight="1"/>
  <cols>
    <col min="1" max="1" width="14.4444444444444" style="39" customWidth="1"/>
    <col min="2" max="2" width="23.1111111111111" style="39" customWidth="1"/>
    <col min="3" max="3" width="14.7777777777778" style="39" customWidth="1"/>
    <col min="4" max="4" width="13" style="39" customWidth="1"/>
    <col min="5" max="5" width="13.2222222222222" style="39" customWidth="1"/>
    <col min="6" max="16" width="5.11111111111111" style="2" customWidth="1"/>
    <col min="17" max="16384" width="9" style="2"/>
  </cols>
  <sheetData>
    <row r="1" customHeight="1" spans="1:16">
      <c r="A1" s="40" t="s">
        <v>0</v>
      </c>
      <c r="B1" s="40"/>
      <c r="C1" s="40"/>
      <c r="D1" s="40"/>
      <c r="E1" s="40"/>
      <c r="F1" s="41" t="s">
        <v>1</v>
      </c>
      <c r="G1" s="42"/>
      <c r="H1" s="42"/>
      <c r="I1" s="42"/>
      <c r="J1" s="42"/>
      <c r="K1" s="42"/>
      <c r="L1" s="42"/>
      <c r="M1" s="42"/>
      <c r="N1" s="42"/>
      <c r="O1" s="42"/>
      <c r="P1" s="72"/>
    </row>
    <row r="2" s="1" customFormat="1" ht="21" customHeight="1" spans="1:16">
      <c r="A2" s="43" t="s">
        <v>2</v>
      </c>
      <c r="B2" s="44"/>
      <c r="C2" s="45"/>
      <c r="D2" s="45"/>
      <c r="E2" s="46"/>
      <c r="F2" s="47"/>
      <c r="G2" s="42"/>
      <c r="H2" s="48" t="s">
        <v>3</v>
      </c>
      <c r="I2" s="48"/>
      <c r="J2" s="48"/>
      <c r="K2" s="52"/>
      <c r="L2" s="48" t="s">
        <v>4</v>
      </c>
      <c r="M2" s="48"/>
      <c r="N2" s="48"/>
      <c r="O2" s="42"/>
      <c r="P2" s="72"/>
    </row>
    <row r="3" s="1" customFormat="1" ht="21" customHeight="1" spans="1:16">
      <c r="A3" s="43" t="s">
        <v>5</v>
      </c>
      <c r="B3" s="49"/>
      <c r="C3" s="50"/>
      <c r="D3" s="50"/>
      <c r="E3" s="51"/>
      <c r="F3" s="47"/>
      <c r="G3" s="42"/>
      <c r="H3" s="48"/>
      <c r="I3" s="48"/>
      <c r="J3" s="48"/>
      <c r="K3" s="52"/>
      <c r="L3" s="48"/>
      <c r="M3" s="48"/>
      <c r="N3" s="48"/>
      <c r="O3" s="42"/>
      <c r="P3" s="72"/>
    </row>
    <row r="4" s="1" customFormat="1" ht="21" customHeight="1" spans="1:16">
      <c r="A4" s="43" t="s">
        <v>6</v>
      </c>
      <c r="B4" s="49"/>
      <c r="C4" s="50"/>
      <c r="D4" s="50"/>
      <c r="E4" s="51"/>
      <c r="F4" s="47"/>
      <c r="G4" s="42"/>
      <c r="H4" s="52"/>
      <c r="I4" s="52"/>
      <c r="J4" s="52"/>
      <c r="K4" s="52"/>
      <c r="L4" s="52"/>
      <c r="M4" s="73"/>
      <c r="N4" s="73"/>
      <c r="O4" s="42"/>
      <c r="P4" s="72"/>
    </row>
    <row r="5" s="1" customFormat="1" ht="21" customHeight="1" spans="1:16">
      <c r="A5" s="43" t="s">
        <v>7</v>
      </c>
      <c r="B5" s="53"/>
      <c r="C5" s="50"/>
      <c r="D5" s="50"/>
      <c r="E5" s="51"/>
      <c r="F5" s="47"/>
      <c r="G5" s="42"/>
      <c r="H5" s="52"/>
      <c r="I5" s="52"/>
      <c r="J5" s="52"/>
      <c r="K5" s="52"/>
      <c r="L5" s="52"/>
      <c r="M5" s="73"/>
      <c r="N5" s="73"/>
      <c r="O5" s="42"/>
      <c r="P5" s="72"/>
    </row>
    <row r="6" s="1" customFormat="1" ht="21" customHeight="1" spans="1:16">
      <c r="A6" s="43" t="s">
        <v>8</v>
      </c>
      <c r="B6" s="49"/>
      <c r="C6" s="50"/>
      <c r="D6" s="50"/>
      <c r="E6" s="51"/>
      <c r="F6" s="47"/>
      <c r="G6" s="42"/>
      <c r="H6" s="48" t="s">
        <v>9</v>
      </c>
      <c r="I6" s="48"/>
      <c r="J6" s="48"/>
      <c r="K6" s="52"/>
      <c r="L6" s="48" t="s">
        <v>10</v>
      </c>
      <c r="M6" s="48"/>
      <c r="N6" s="48"/>
      <c r="O6" s="42"/>
      <c r="P6" s="72"/>
    </row>
    <row r="7" s="1" customFormat="1" ht="21" customHeight="1" spans="1:16">
      <c r="A7" s="43" t="s">
        <v>11</v>
      </c>
      <c r="B7" s="53"/>
      <c r="C7" s="54"/>
      <c r="D7" s="54"/>
      <c r="E7" s="55"/>
      <c r="F7" s="56"/>
      <c r="G7" s="42"/>
      <c r="H7" s="48"/>
      <c r="I7" s="48"/>
      <c r="J7" s="48"/>
      <c r="K7" s="52"/>
      <c r="L7" s="48"/>
      <c r="M7" s="48"/>
      <c r="N7" s="48"/>
      <c r="O7" s="42"/>
      <c r="P7" s="72"/>
    </row>
    <row r="8" s="1" customFormat="1" ht="42" customHeight="1" spans="1:16">
      <c r="A8" s="43" t="s">
        <v>12</v>
      </c>
      <c r="B8" s="53"/>
      <c r="C8" s="54"/>
      <c r="D8" s="54"/>
      <c r="E8" s="55"/>
      <c r="F8" s="56"/>
      <c r="G8" s="42"/>
      <c r="H8" s="48"/>
      <c r="I8" s="48"/>
      <c r="J8" s="48"/>
      <c r="K8" s="52"/>
      <c r="L8" s="48"/>
      <c r="M8" s="48"/>
      <c r="N8" s="48"/>
      <c r="O8" s="42"/>
      <c r="P8" s="72"/>
    </row>
    <row r="9" s="1" customFormat="1" ht="21.75" customHeight="1" spans="1:16">
      <c r="A9" s="43" t="s">
        <v>13</v>
      </c>
      <c r="B9" s="57"/>
      <c r="C9" s="58"/>
      <c r="D9" s="58"/>
      <c r="E9" s="59"/>
      <c r="F9" s="56"/>
      <c r="G9" s="42"/>
      <c r="H9" s="60"/>
      <c r="I9" s="60"/>
      <c r="J9" s="60"/>
      <c r="K9" s="74"/>
      <c r="L9" s="60"/>
      <c r="M9" s="60"/>
      <c r="N9" s="60"/>
      <c r="O9" s="42"/>
      <c r="P9" s="72"/>
    </row>
    <row r="10" s="1" customFormat="1" ht="21.75" customHeight="1" spans="1:16">
      <c r="A10" s="43" t="s">
        <v>14</v>
      </c>
      <c r="B10" s="57"/>
      <c r="C10" s="58"/>
      <c r="D10" s="58"/>
      <c r="E10" s="59"/>
      <c r="F10" s="61"/>
      <c r="G10" s="2"/>
      <c r="H10" s="2"/>
      <c r="I10" s="75" t="s">
        <v>15</v>
      </c>
      <c r="J10" s="76"/>
      <c r="K10" s="61"/>
      <c r="L10" s="61"/>
      <c r="M10" s="2"/>
      <c r="N10" s="2"/>
      <c r="O10" s="2"/>
      <c r="P10" s="61"/>
    </row>
    <row r="11" s="1" customFormat="1" ht="21.75" customHeight="1" spans="1:16">
      <c r="A11" s="43" t="s">
        <v>16</v>
      </c>
      <c r="B11" s="57"/>
      <c r="C11" s="58"/>
      <c r="D11" s="58"/>
      <c r="E11" s="59"/>
      <c r="F11" s="61"/>
      <c r="G11" s="61"/>
      <c r="H11" s="2"/>
      <c r="I11" s="77"/>
      <c r="J11" s="78" t="s">
        <v>17</v>
      </c>
      <c r="K11" s="61"/>
      <c r="L11" s="61"/>
      <c r="M11" s="61"/>
      <c r="N11" s="61"/>
      <c r="O11" s="61"/>
      <c r="P11" s="61"/>
    </row>
    <row r="12" s="1" customFormat="1" ht="21.75" customHeight="1" spans="1:16">
      <c r="A12" s="43" t="s">
        <v>18</v>
      </c>
      <c r="B12" s="62"/>
      <c r="C12" s="63" t="s">
        <v>19</v>
      </c>
      <c r="D12" s="62"/>
      <c r="E12" s="62"/>
      <c r="F12" s="61"/>
      <c r="G12" s="61"/>
      <c r="H12" s="2"/>
      <c r="I12" s="79"/>
      <c r="J12" s="78" t="s">
        <v>20</v>
      </c>
      <c r="K12" s="2"/>
      <c r="L12" s="2"/>
      <c r="M12" s="61"/>
      <c r="N12" s="61"/>
      <c r="O12" s="61"/>
      <c r="P12" s="61"/>
    </row>
    <row r="13" s="1" customFormat="1" ht="21.75" customHeight="1" spans="1:16">
      <c r="A13" s="43" t="s">
        <v>21</v>
      </c>
      <c r="B13" s="57"/>
      <c r="C13" s="58"/>
      <c r="D13" s="58"/>
      <c r="E13" s="59"/>
      <c r="F13" s="61"/>
      <c r="G13" s="61"/>
      <c r="H13" s="2"/>
      <c r="I13" s="80"/>
      <c r="J13" s="78" t="s">
        <v>22</v>
      </c>
      <c r="K13" s="2"/>
      <c r="L13" s="2"/>
      <c r="M13" s="61"/>
      <c r="N13" s="61"/>
      <c r="O13" s="61"/>
      <c r="P13" s="61"/>
    </row>
    <row r="14" s="1" customFormat="1" ht="21.75" customHeight="1" spans="1:16">
      <c r="A14" s="64" t="s">
        <v>23</v>
      </c>
      <c r="B14" s="65"/>
      <c r="C14" s="66"/>
      <c r="D14" s="66"/>
      <c r="E14" s="67"/>
      <c r="F14" s="61"/>
      <c r="G14" s="61"/>
      <c r="H14" s="2"/>
      <c r="I14" s="2"/>
      <c r="J14" s="78"/>
      <c r="K14" s="2"/>
      <c r="L14" s="2"/>
      <c r="M14" s="61"/>
      <c r="N14" s="61"/>
      <c r="O14" s="61"/>
      <c r="P14" s="61"/>
    </row>
    <row r="15" ht="21.75" customHeight="1" spans="1:16">
      <c r="A15" s="43" t="s">
        <v>24</v>
      </c>
      <c r="B15" s="57"/>
      <c r="C15" s="58"/>
      <c r="D15" s="58"/>
      <c r="E15" s="59"/>
      <c r="F15" s="61"/>
      <c r="G15" s="61"/>
      <c r="J15" s="78"/>
      <c r="M15" s="61"/>
      <c r="N15" s="61"/>
      <c r="O15" s="61"/>
      <c r="P15" s="61"/>
    </row>
    <row r="16" ht="26.25" customHeight="1" spans="1:16">
      <c r="A16" s="64" t="s">
        <v>25</v>
      </c>
      <c r="B16" s="65"/>
      <c r="C16" s="66"/>
      <c r="D16" s="66"/>
      <c r="E16" s="67"/>
      <c r="F16" s="68"/>
      <c r="G16" s="68"/>
      <c r="H16" s="38"/>
      <c r="I16" s="38"/>
      <c r="J16" s="38"/>
      <c r="K16" s="38"/>
      <c r="L16" s="68"/>
      <c r="M16" s="68"/>
      <c r="N16" s="68"/>
      <c r="O16" s="68"/>
      <c r="P16" s="68"/>
    </row>
    <row r="17" ht="32.4" customHeight="1" spans="1:5">
      <c r="A17" s="64" t="s">
        <v>26</v>
      </c>
      <c r="B17" s="65"/>
      <c r="C17" s="66"/>
      <c r="D17" s="66"/>
      <c r="E17" s="67"/>
    </row>
    <row r="18" ht="39" customHeight="1" spans="1:5">
      <c r="A18" s="64" t="s">
        <v>27</v>
      </c>
      <c r="B18" s="65"/>
      <c r="C18" s="66"/>
      <c r="D18" s="66"/>
      <c r="E18" s="67"/>
    </row>
    <row r="19" ht="26.25" customHeight="1" spans="1:5">
      <c r="A19" s="69" t="s">
        <v>28</v>
      </c>
      <c r="B19" s="70"/>
      <c r="C19" s="70"/>
      <c r="D19" s="70"/>
      <c r="E19" s="71"/>
    </row>
    <row r="20" ht="26.25" customHeight="1" spans="1:5">
      <c r="A20" s="43" t="s">
        <v>29</v>
      </c>
      <c r="B20" s="3"/>
      <c r="C20" s="3"/>
      <c r="D20" s="3"/>
      <c r="E20" s="3"/>
    </row>
    <row r="21" s="38" customFormat="1" ht="26.25" customHeight="1" spans="1:16">
      <c r="A21" s="43" t="s">
        <v>30</v>
      </c>
      <c r="B21" s="3"/>
      <c r="C21" s="3"/>
      <c r="D21" s="3"/>
      <c r="E21" s="3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8" customFormat="1" ht="26.25" customHeight="1" spans="1:16">
      <c r="A22" s="43" t="s">
        <v>31</v>
      </c>
      <c r="B22" s="3"/>
      <c r="C22" s="3"/>
      <c r="D22" s="3"/>
      <c r="E22" s="3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26.25" customHeight="1"/>
  </sheetData>
  <sheetProtection formatCells="0" formatColumns="0" formatRows="0" sort="0" autoFilter="0" pivotTables="0"/>
  <mergeCells count="26">
    <mergeCell ref="A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  <mergeCell ref="D12:E12"/>
    <mergeCell ref="B13:E13"/>
    <mergeCell ref="B14:E14"/>
    <mergeCell ref="B15:E15"/>
    <mergeCell ref="B16:E16"/>
    <mergeCell ref="B17:E17"/>
    <mergeCell ref="B18:E18"/>
    <mergeCell ref="A19:E19"/>
    <mergeCell ref="B20:E20"/>
    <mergeCell ref="B21:E21"/>
    <mergeCell ref="B22:E22"/>
    <mergeCell ref="L2:N3"/>
    <mergeCell ref="H6:J8"/>
    <mergeCell ref="L6:N8"/>
    <mergeCell ref="H2:J3"/>
  </mergeCells>
  <pageMargins left="0.699305555555556" right="0.699305555555556" top="0.75" bottom="0.75" header="0.3" footer="0.3"/>
  <pageSetup paperSize="9" orientation="portrait"/>
  <headerFooter/>
  <drawing r:id="rId1"/>
  <legacyDrawing r:id="rId2"/>
  <oleObjects>
    <mc:AlternateContent xmlns:mc="http://schemas.openxmlformats.org/markup-compatibility/2006">
      <mc:Choice Requires="x14">
        <oleObject shapeId="1025" progId="Equation.KSEE3" r:id="rId3">
          <objectPr defaultSize="0" r:id="rId4">
            <anchor moveWithCells="1">
              <from>
                <xdr:col>2</xdr:col>
                <xdr:colOff>68580</xdr:colOff>
                <xdr:row>16</xdr:row>
                <xdr:rowOff>15875</xdr:rowOff>
              </from>
              <to>
                <xdr:col>3</xdr:col>
                <xdr:colOff>367665</xdr:colOff>
                <xdr:row>17</xdr:row>
                <xdr:rowOff>0</xdr:rowOff>
              </to>
            </anchor>
          </objectPr>
        </oleObject>
      </mc:Choice>
      <mc:Fallback>
        <oleObject shapeId="1025" progId="Equation.KSEE3" r:id="rId3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K387"/>
  <sheetViews>
    <sheetView workbookViewId="0">
      <selection activeCell="H8" sqref="H8"/>
    </sheetView>
  </sheetViews>
  <sheetFormatPr defaultColWidth="9" defaultRowHeight="13.8"/>
  <cols>
    <col min="1" max="1" width="9" style="2"/>
    <col min="2" max="2" width="15.1111111111111" style="3" customWidth="1"/>
    <col min="3" max="3" width="12.4444444444444" style="4" customWidth="1"/>
    <col min="4" max="4" width="8.11111111111111" style="4" customWidth="1"/>
    <col min="5" max="5" width="9.66666666666667" style="4" customWidth="1"/>
    <col min="6" max="7" width="10.4444444444444" style="4" customWidth="1"/>
    <col min="8" max="8" width="11.2222222222222" style="4" customWidth="1"/>
    <col min="9" max="9" width="11.8888888888889" style="4" customWidth="1"/>
    <col min="10" max="12" width="10.2222222222222" style="4" customWidth="1"/>
    <col min="13" max="13" width="11.7777777777778" style="4" customWidth="1"/>
    <col min="14" max="18" width="11.3333333333333" style="5" customWidth="1"/>
    <col min="19" max="19" width="12.4444444444444" style="4" customWidth="1"/>
    <col min="20" max="16384" width="9" style="2"/>
  </cols>
  <sheetData>
    <row r="1" ht="20.25" customHeight="1" spans="1:19">
      <c r="A1" s="6" t="s">
        <v>32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</row>
    <row r="2" s="1" customFormat="1" ht="18.9" customHeight="1" spans="1:37">
      <c r="A2" s="8" t="s">
        <v>33</v>
      </c>
      <c r="B2" s="8" t="s">
        <v>34</v>
      </c>
      <c r="C2" s="9" t="s">
        <v>35</v>
      </c>
      <c r="D2" s="9" t="s">
        <v>36</v>
      </c>
      <c r="E2" s="9" t="s">
        <v>37</v>
      </c>
      <c r="F2" s="10" t="s">
        <v>38</v>
      </c>
      <c r="G2" s="9" t="s">
        <v>39</v>
      </c>
      <c r="H2" s="9" t="s">
        <v>40</v>
      </c>
      <c r="I2" s="9" t="s">
        <v>41</v>
      </c>
      <c r="J2" s="10" t="s">
        <v>42</v>
      </c>
      <c r="K2" s="10" t="s">
        <v>43</v>
      </c>
      <c r="L2" s="10" t="s">
        <v>44</v>
      </c>
      <c r="M2" s="10" t="s">
        <v>45</v>
      </c>
      <c r="N2" s="20" t="s">
        <v>46</v>
      </c>
      <c r="O2" s="21"/>
      <c r="P2" s="21"/>
      <c r="Q2" s="21"/>
      <c r="R2" s="31"/>
      <c r="S2" s="10" t="s">
        <v>27</v>
      </c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s="1" customFormat="1" ht="49.35" customHeight="1" spans="1:37">
      <c r="A3" s="11"/>
      <c r="B3" s="11"/>
      <c r="C3" s="9"/>
      <c r="D3" s="9"/>
      <c r="E3" s="9"/>
      <c r="F3" s="12"/>
      <c r="G3" s="9"/>
      <c r="H3" s="9"/>
      <c r="I3" s="9"/>
      <c r="J3" s="12"/>
      <c r="K3" s="12"/>
      <c r="L3" s="12"/>
      <c r="M3" s="12"/>
      <c r="N3" s="22" t="s">
        <v>47</v>
      </c>
      <c r="O3" s="23" t="s">
        <v>48</v>
      </c>
      <c r="P3" s="22" t="s">
        <v>49</v>
      </c>
      <c r="Q3" s="22" t="s">
        <v>50</v>
      </c>
      <c r="R3" s="32" t="s">
        <v>51</v>
      </c>
      <c r="S3" s="33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</row>
    <row r="4" ht="20.25" customHeight="1" spans="1:13">
      <c r="A4" s="13"/>
      <c r="B4" s="13"/>
      <c r="C4" s="14"/>
      <c r="D4" s="4" t="s">
        <v>52</v>
      </c>
      <c r="K4" s="24" t="str">
        <f>IFERROR(IF(ISBLANK(F4),"",baoliuxiaoshuwei(F4*J4,3)),"")</f>
        <v/>
      </c>
      <c r="L4" s="25"/>
      <c r="M4" s="26" t="str">
        <f>IFERROR(IF(ISBLANK(L4),"",baoliuxiaoshuwei((L4*10/100)*C4,2)),"")</f>
        <v/>
      </c>
    </row>
    <row r="5" ht="20.25" customHeight="1" spans="1:13">
      <c r="A5" s="15"/>
      <c r="B5" s="15"/>
      <c r="C5" s="16"/>
      <c r="D5" s="4" t="s">
        <v>53</v>
      </c>
      <c r="G5" s="17"/>
      <c r="K5" s="24" t="str">
        <f>IFERROR(IF(ISBLANK(F5),"",baoliuxiaoshuwei(F5*J5,3)),"")</f>
        <v/>
      </c>
      <c r="L5" s="27"/>
      <c r="M5" s="28"/>
    </row>
    <row r="6" ht="20.25" customHeight="1" spans="1:13">
      <c r="A6" s="18"/>
      <c r="B6" s="18"/>
      <c r="C6" s="19"/>
      <c r="D6" s="4" t="s">
        <v>54</v>
      </c>
      <c r="K6" s="24" t="str">
        <f>IFERROR(IF(ISBLANK(F6),"",baoliuxiaoshuwei(F6*J6,3)),"")</f>
        <v/>
      </c>
      <c r="L6" s="29"/>
      <c r="M6" s="30"/>
    </row>
    <row r="7" ht="20.25" customHeight="1" spans="1:13">
      <c r="A7" s="13"/>
      <c r="B7" s="13"/>
      <c r="C7" s="14"/>
      <c r="D7" s="4" t="s">
        <v>52</v>
      </c>
      <c r="K7" s="24" t="str">
        <f>IFERROR(IF(ISBLANK(F7),"",baoliuxiaoshuwei(F7*J7,3)),"")</f>
        <v/>
      </c>
      <c r="L7" s="25"/>
      <c r="M7" s="26" t="str">
        <f>IFERROR(IF(ISBLANK(L7),"",baoliuxiaoshuwei((L7*10/100)*C7,2)),"")</f>
        <v/>
      </c>
    </row>
    <row r="8" ht="20.25" customHeight="1" spans="1:13">
      <c r="A8" s="15"/>
      <c r="B8" s="15"/>
      <c r="C8" s="16"/>
      <c r="D8" s="4" t="s">
        <v>53</v>
      </c>
      <c r="K8" s="24" t="str">
        <f>IFERROR(IF(ISBLANK(F8),"",baoliuxiaoshuwei(F8*J8,3)),"")</f>
        <v/>
      </c>
      <c r="L8" s="27"/>
      <c r="M8" s="28"/>
    </row>
    <row r="9" ht="20.25" customHeight="1" spans="1:13">
      <c r="A9" s="18"/>
      <c r="B9" s="18"/>
      <c r="C9" s="19"/>
      <c r="D9" s="4" t="s">
        <v>54</v>
      </c>
      <c r="K9" s="24" t="str">
        <f>IFERROR(IF(ISBLANK(F9),"",baoliuxiaoshuwei(F9*J9,3)),"")</f>
        <v/>
      </c>
      <c r="L9" s="29"/>
      <c r="M9" s="30"/>
    </row>
    <row r="10" ht="20.25" customHeight="1" spans="1:13">
      <c r="A10" s="13"/>
      <c r="B10" s="13"/>
      <c r="C10" s="14"/>
      <c r="D10" s="4" t="s">
        <v>52</v>
      </c>
      <c r="K10" s="24" t="str">
        <f>IFERROR(IF(ISBLANK(F10),"",baoliuxiaoshuwei(F10*J10,3)),"")</f>
        <v/>
      </c>
      <c r="L10" s="25"/>
      <c r="M10" s="26" t="str">
        <f>IFERROR(IF(ISBLANK(L10),"",baoliuxiaoshuwei((L10*10/100)*C10,2)),"")</f>
        <v/>
      </c>
    </row>
    <row r="11" ht="20.25" customHeight="1" spans="1:13">
      <c r="A11" s="15"/>
      <c r="B11" s="15"/>
      <c r="C11" s="16"/>
      <c r="D11" s="4" t="s">
        <v>53</v>
      </c>
      <c r="K11" s="24" t="str">
        <f>IFERROR(IF(ISBLANK(F11),"",baoliuxiaoshuwei(F11*J11,3)),"")</f>
        <v/>
      </c>
      <c r="L11" s="27"/>
      <c r="M11" s="28"/>
    </row>
    <row r="12" ht="20.25" customHeight="1" spans="1:13">
      <c r="A12" s="18"/>
      <c r="B12" s="18"/>
      <c r="C12" s="19"/>
      <c r="D12" s="4" t="s">
        <v>54</v>
      </c>
      <c r="K12" s="24" t="str">
        <f>IFERROR(IF(ISBLANK(F12),"",baoliuxiaoshuwei(F12*J12,3)),"")</f>
        <v/>
      </c>
      <c r="L12" s="29"/>
      <c r="M12" s="30"/>
    </row>
    <row r="13" ht="20.25" customHeight="1" spans="1:13">
      <c r="A13" s="13"/>
      <c r="B13" s="13"/>
      <c r="C13" s="14"/>
      <c r="D13" s="4" t="s">
        <v>52</v>
      </c>
      <c r="K13" s="24" t="str">
        <f>IFERROR(IF(ISBLANK(F13),"",baoliuxiaoshuwei(F13*J13,3)),"")</f>
        <v/>
      </c>
      <c r="L13" s="25"/>
      <c r="M13" s="26" t="str">
        <f>IFERROR(IF(ISBLANK(L13),"",baoliuxiaoshuwei((L13*10/100)*C13,2)),"")</f>
        <v/>
      </c>
    </row>
    <row r="14" ht="20.25" customHeight="1" spans="1:13">
      <c r="A14" s="15"/>
      <c r="B14" s="15"/>
      <c r="C14" s="16"/>
      <c r="D14" s="4" t="s">
        <v>53</v>
      </c>
      <c r="K14" s="24" t="str">
        <f>IFERROR(IF(ISBLANK(F14),"",baoliuxiaoshuwei(F14*J14,3)),"")</f>
        <v/>
      </c>
      <c r="L14" s="27"/>
      <c r="M14" s="28"/>
    </row>
    <row r="15" ht="20.25" customHeight="1" spans="1:13">
      <c r="A15" s="18"/>
      <c r="B15" s="18"/>
      <c r="C15" s="19"/>
      <c r="D15" s="4" t="s">
        <v>54</v>
      </c>
      <c r="K15" s="24" t="str">
        <f>IFERROR(IF(ISBLANK(F15),"",baoliuxiaoshuwei(F15*J15,3)),"")</f>
        <v/>
      </c>
      <c r="L15" s="29"/>
      <c r="M15" s="30"/>
    </row>
    <row r="16" ht="20.25" customHeight="1" spans="1:13">
      <c r="A16" s="13"/>
      <c r="B16" s="13"/>
      <c r="C16" s="14"/>
      <c r="D16" s="4" t="s">
        <v>52</v>
      </c>
      <c r="K16" s="24" t="str">
        <f>IFERROR(IF(ISBLANK(F16),"",baoliuxiaoshuwei(F16*J16,3)),"")</f>
        <v/>
      </c>
      <c r="L16" s="25"/>
      <c r="M16" s="26" t="str">
        <f>IFERROR(IF(ISBLANK(L16),"",baoliuxiaoshuwei((L16*10/100)*C16,2)),"")</f>
        <v/>
      </c>
    </row>
    <row r="17" ht="20.25" customHeight="1" spans="1:13">
      <c r="A17" s="15"/>
      <c r="B17" s="15"/>
      <c r="C17" s="16"/>
      <c r="D17" s="4" t="s">
        <v>53</v>
      </c>
      <c r="K17" s="24" t="str">
        <f>IFERROR(IF(ISBLANK(F17),"",baoliuxiaoshuwei(F17*J17,3)),"")</f>
        <v/>
      </c>
      <c r="L17" s="27"/>
      <c r="M17" s="28"/>
    </row>
    <row r="18" ht="20.25" customHeight="1" spans="1:13">
      <c r="A18" s="18"/>
      <c r="B18" s="18"/>
      <c r="C18" s="19"/>
      <c r="D18" s="4" t="s">
        <v>54</v>
      </c>
      <c r="K18" s="24" t="str">
        <f>IFERROR(IF(ISBLANK(F18),"",baoliuxiaoshuwei(F18*J18,3)),"")</f>
        <v/>
      </c>
      <c r="L18" s="29"/>
      <c r="M18" s="30"/>
    </row>
    <row r="19" ht="20.25" customHeight="1" spans="1:13">
      <c r="A19" s="13"/>
      <c r="B19" s="13"/>
      <c r="C19" s="14"/>
      <c r="D19" s="4" t="s">
        <v>52</v>
      </c>
      <c r="K19" s="24" t="str">
        <f>IFERROR(IF(ISBLANK(F19),"",baoliuxiaoshuwei(F19*J19,3)),"")</f>
        <v/>
      </c>
      <c r="L19" s="25"/>
      <c r="M19" s="26" t="str">
        <f>IFERROR(IF(ISBLANK(L19),"",baoliuxiaoshuwei((L19*10/100)*C19,2)),"")</f>
        <v/>
      </c>
    </row>
    <row r="20" ht="20.25" customHeight="1" spans="1:13">
      <c r="A20" s="15"/>
      <c r="B20" s="15"/>
      <c r="C20" s="16"/>
      <c r="D20" s="4" t="s">
        <v>53</v>
      </c>
      <c r="K20" s="24" t="str">
        <f>IFERROR(IF(ISBLANK(F20),"",baoliuxiaoshuwei(F20*J20,3)),"")</f>
        <v/>
      </c>
      <c r="L20" s="27"/>
      <c r="M20" s="28"/>
    </row>
    <row r="21" ht="20.25" customHeight="1" spans="1:13">
      <c r="A21" s="18"/>
      <c r="B21" s="18"/>
      <c r="C21" s="19"/>
      <c r="D21" s="4" t="s">
        <v>54</v>
      </c>
      <c r="K21" s="24" t="str">
        <f>IFERROR(IF(ISBLANK(F21),"",baoliuxiaoshuwei(F21*J21,3)),"")</f>
        <v/>
      </c>
      <c r="L21" s="29"/>
      <c r="M21" s="30"/>
    </row>
    <row r="22" ht="20.25" customHeight="1" spans="1:13">
      <c r="A22" s="13"/>
      <c r="B22" s="13"/>
      <c r="C22" s="14"/>
      <c r="D22" s="4" t="s">
        <v>52</v>
      </c>
      <c r="K22" s="24" t="str">
        <f>IFERROR(IF(ISBLANK(F22),"",baoliuxiaoshuwei(F22*J22,3)),"")</f>
        <v/>
      </c>
      <c r="L22" s="25"/>
      <c r="M22" s="26" t="str">
        <f>IFERROR(IF(ISBLANK(L22),"",baoliuxiaoshuwei((L22*10/100)*C22,2)),"")</f>
        <v/>
      </c>
    </row>
    <row r="23" ht="20.25" customHeight="1" spans="1:13">
      <c r="A23" s="15"/>
      <c r="B23" s="15"/>
      <c r="C23" s="16"/>
      <c r="D23" s="4" t="s">
        <v>53</v>
      </c>
      <c r="K23" s="24" t="str">
        <f>IFERROR(IF(ISBLANK(F23),"",baoliuxiaoshuwei(F23*J23,3)),"")</f>
        <v/>
      </c>
      <c r="L23" s="27"/>
      <c r="M23" s="28"/>
    </row>
    <row r="24" ht="20.25" customHeight="1" spans="1:13">
      <c r="A24" s="18"/>
      <c r="B24" s="18"/>
      <c r="C24" s="19"/>
      <c r="D24" s="4" t="s">
        <v>54</v>
      </c>
      <c r="K24" s="24" t="str">
        <f>IFERROR(IF(ISBLANK(F24),"",baoliuxiaoshuwei(F24*J24,3)),"")</f>
        <v/>
      </c>
      <c r="L24" s="29"/>
      <c r="M24" s="30"/>
    </row>
    <row r="25" ht="20.25" customHeight="1" spans="1:13">
      <c r="A25" s="13"/>
      <c r="B25" s="13"/>
      <c r="C25" s="14"/>
      <c r="D25" s="4" t="s">
        <v>52</v>
      </c>
      <c r="K25" s="24" t="str">
        <f>IFERROR(IF(ISBLANK(F25),"",baoliuxiaoshuwei(F25*J25,3)),"")</f>
        <v/>
      </c>
      <c r="L25" s="25"/>
      <c r="M25" s="26" t="str">
        <f>IFERROR(IF(ISBLANK(L25),"",baoliuxiaoshuwei((L25*10/100)*C25,2)),"")</f>
        <v/>
      </c>
    </row>
    <row r="26" ht="20.25" customHeight="1" spans="1:13">
      <c r="A26" s="15"/>
      <c r="B26" s="15"/>
      <c r="C26" s="16"/>
      <c r="D26" s="4" t="s">
        <v>53</v>
      </c>
      <c r="K26" s="24" t="str">
        <f>IFERROR(IF(ISBLANK(F26),"",baoliuxiaoshuwei(F26*J26,3)),"")</f>
        <v/>
      </c>
      <c r="L26" s="27"/>
      <c r="M26" s="28"/>
    </row>
    <row r="27" ht="20.25" customHeight="1" spans="1:13">
      <c r="A27" s="18"/>
      <c r="B27" s="18"/>
      <c r="C27" s="19"/>
      <c r="D27" s="4" t="s">
        <v>54</v>
      </c>
      <c r="K27" s="24" t="str">
        <f>IFERROR(IF(ISBLANK(F27),"",baoliuxiaoshuwei(F27*J27,3)),"")</f>
        <v/>
      </c>
      <c r="L27" s="29"/>
      <c r="M27" s="30"/>
    </row>
    <row r="28" ht="20.25" customHeight="1" spans="1:13">
      <c r="A28" s="13"/>
      <c r="B28" s="13"/>
      <c r="C28" s="14"/>
      <c r="D28" s="4" t="s">
        <v>52</v>
      </c>
      <c r="K28" s="24" t="str">
        <f>IFERROR(IF(ISBLANK(F28),"",baoliuxiaoshuwei(F28*J28,3)),"")</f>
        <v/>
      </c>
      <c r="L28" s="25"/>
      <c r="M28" s="26" t="str">
        <f>IFERROR(IF(ISBLANK(L28),"",baoliuxiaoshuwei((L28*10/100)*C28,2)),"")</f>
        <v/>
      </c>
    </row>
    <row r="29" ht="20.25" customHeight="1" spans="1:13">
      <c r="A29" s="15"/>
      <c r="B29" s="15"/>
      <c r="C29" s="16"/>
      <c r="D29" s="4" t="s">
        <v>53</v>
      </c>
      <c r="K29" s="24" t="str">
        <f>IFERROR(IF(ISBLANK(F29),"",baoliuxiaoshuwei(F29*J29,3)),"")</f>
        <v/>
      </c>
      <c r="L29" s="27"/>
      <c r="M29" s="28"/>
    </row>
    <row r="30" ht="20.25" customHeight="1" spans="1:13">
      <c r="A30" s="18"/>
      <c r="B30" s="18"/>
      <c r="C30" s="19"/>
      <c r="D30" s="4" t="s">
        <v>54</v>
      </c>
      <c r="K30" s="24" t="str">
        <f>IFERROR(IF(ISBLANK(F30),"",baoliuxiaoshuwei(F30*J30,3)),"")</f>
        <v/>
      </c>
      <c r="L30" s="29"/>
      <c r="M30" s="30"/>
    </row>
    <row r="31" ht="20.25" customHeight="1" spans="1:13">
      <c r="A31" s="13"/>
      <c r="B31" s="13"/>
      <c r="C31" s="14"/>
      <c r="D31" s="4" t="s">
        <v>52</v>
      </c>
      <c r="K31" s="24" t="str">
        <f>IFERROR(IF(ISBLANK(F31),"",baoliuxiaoshuwei(F31*J31,3)),"")</f>
        <v/>
      </c>
      <c r="L31" s="25"/>
      <c r="M31" s="26" t="str">
        <f>IFERROR(IF(ISBLANK(L31),"",baoliuxiaoshuwei((L31*10/100)*C31,2)),"")</f>
        <v/>
      </c>
    </row>
    <row r="32" ht="20.25" customHeight="1" spans="1:13">
      <c r="A32" s="15"/>
      <c r="B32" s="15"/>
      <c r="C32" s="16"/>
      <c r="D32" s="4" t="s">
        <v>53</v>
      </c>
      <c r="K32" s="24" t="str">
        <f>IFERROR(IF(ISBLANK(F32),"",baoliuxiaoshuwei(F32*J32,3)),"")</f>
        <v/>
      </c>
      <c r="L32" s="27"/>
      <c r="M32" s="28"/>
    </row>
    <row r="33" ht="20.25" customHeight="1" spans="1:13">
      <c r="A33" s="18"/>
      <c r="B33" s="18"/>
      <c r="C33" s="19"/>
      <c r="D33" s="4" t="s">
        <v>54</v>
      </c>
      <c r="K33" s="24" t="str">
        <f>IFERROR(IF(ISBLANK(F33),"",baoliuxiaoshuwei(F33*J33,3)),"")</f>
        <v/>
      </c>
      <c r="L33" s="29"/>
      <c r="M33" s="30"/>
    </row>
    <row r="34" ht="20.25" customHeight="1" spans="1:13">
      <c r="A34" s="13"/>
      <c r="B34" s="13"/>
      <c r="C34" s="14"/>
      <c r="D34" s="4" t="s">
        <v>52</v>
      </c>
      <c r="K34" s="24" t="str">
        <f>IFERROR(IF(ISBLANK(F34),"",baoliuxiaoshuwei(F34*J34,3)),"")</f>
        <v/>
      </c>
      <c r="L34" s="25"/>
      <c r="M34" s="26" t="str">
        <f>IFERROR(IF(ISBLANK(L34),"",baoliuxiaoshuwei((L34*10/100)*C34,2)),"")</f>
        <v/>
      </c>
    </row>
    <row r="35" ht="20.25" customHeight="1" spans="1:13">
      <c r="A35" s="15"/>
      <c r="B35" s="15"/>
      <c r="C35" s="16"/>
      <c r="D35" s="4" t="s">
        <v>53</v>
      </c>
      <c r="K35" s="24" t="str">
        <f>IFERROR(IF(ISBLANK(F35),"",baoliuxiaoshuwei(F35*J35,3)),"")</f>
        <v/>
      </c>
      <c r="L35" s="27"/>
      <c r="M35" s="28"/>
    </row>
    <row r="36" ht="20.25" customHeight="1" spans="1:13">
      <c r="A36" s="18"/>
      <c r="B36" s="18"/>
      <c r="C36" s="19"/>
      <c r="D36" s="4" t="s">
        <v>54</v>
      </c>
      <c r="K36" s="24" t="str">
        <f>IFERROR(IF(ISBLANK(F36),"",baoliuxiaoshuwei(F36*J36,3)),"")</f>
        <v/>
      </c>
      <c r="L36" s="29"/>
      <c r="M36" s="30"/>
    </row>
    <row r="37" ht="20.25" customHeight="1" spans="1:13">
      <c r="A37" s="13"/>
      <c r="B37" s="13"/>
      <c r="C37" s="14"/>
      <c r="D37" s="4" t="s">
        <v>52</v>
      </c>
      <c r="K37" s="24" t="str">
        <f>IFERROR(IF(ISBLANK(F37),"",baoliuxiaoshuwei(F37*J37,3)),"")</f>
        <v/>
      </c>
      <c r="L37" s="25"/>
      <c r="M37" s="26" t="str">
        <f>IFERROR(IF(ISBLANK(L37),"",baoliuxiaoshuwei((L37*10/100)*C37,2)),"")</f>
        <v/>
      </c>
    </row>
    <row r="38" ht="20.25" customHeight="1" spans="1:13">
      <c r="A38" s="15"/>
      <c r="B38" s="15"/>
      <c r="C38" s="16"/>
      <c r="D38" s="4" t="s">
        <v>53</v>
      </c>
      <c r="K38" s="24" t="str">
        <f>IFERROR(IF(ISBLANK(F38),"",baoliuxiaoshuwei(F38*J38,3)),"")</f>
        <v/>
      </c>
      <c r="L38" s="27"/>
      <c r="M38" s="28"/>
    </row>
    <row r="39" ht="20.25" customHeight="1" spans="1:13">
      <c r="A39" s="18"/>
      <c r="B39" s="18"/>
      <c r="C39" s="19"/>
      <c r="D39" s="4" t="s">
        <v>54</v>
      </c>
      <c r="K39" s="24" t="str">
        <f>IFERROR(IF(ISBLANK(F39),"",baoliuxiaoshuwei(F39*J39,3)),"")</f>
        <v/>
      </c>
      <c r="L39" s="29"/>
      <c r="M39" s="30"/>
    </row>
    <row r="40" ht="20.25" customHeight="1" spans="1:13">
      <c r="A40" s="13"/>
      <c r="B40" s="13"/>
      <c r="C40" s="14"/>
      <c r="D40" s="4" t="s">
        <v>52</v>
      </c>
      <c r="K40" s="24" t="str">
        <f>IFERROR(IF(ISBLANK(F40),"",baoliuxiaoshuwei(F40*J40,3)),"")</f>
        <v/>
      </c>
      <c r="L40" s="25"/>
      <c r="M40" s="26" t="str">
        <f>IFERROR(IF(ISBLANK(L40),"",baoliuxiaoshuwei((L40*10/100)*C40,2)),"")</f>
        <v/>
      </c>
    </row>
    <row r="41" ht="20.25" customHeight="1" spans="1:13">
      <c r="A41" s="15"/>
      <c r="B41" s="15"/>
      <c r="C41" s="16"/>
      <c r="D41" s="4" t="s">
        <v>53</v>
      </c>
      <c r="K41" s="24" t="str">
        <f>IFERROR(IF(ISBLANK(F41),"",baoliuxiaoshuwei(F41*J41,3)),"")</f>
        <v/>
      </c>
      <c r="L41" s="27"/>
      <c r="M41" s="28"/>
    </row>
    <row r="42" ht="20.25" customHeight="1" spans="1:13">
      <c r="A42" s="18"/>
      <c r="B42" s="18"/>
      <c r="C42" s="19"/>
      <c r="D42" s="4" t="s">
        <v>54</v>
      </c>
      <c r="K42" s="24" t="str">
        <f>IFERROR(IF(ISBLANK(F42),"",baoliuxiaoshuwei(F42*J42,3)),"")</f>
        <v/>
      </c>
      <c r="L42" s="29"/>
      <c r="M42" s="30"/>
    </row>
    <row r="43" ht="20.25" customHeight="1" spans="1:13">
      <c r="A43" s="13"/>
      <c r="B43" s="13"/>
      <c r="C43" s="14"/>
      <c r="D43" s="4" t="s">
        <v>52</v>
      </c>
      <c r="K43" s="24" t="str">
        <f>IFERROR(IF(ISBLANK(F43),"",baoliuxiaoshuwei(F43*J43,3)),"")</f>
        <v/>
      </c>
      <c r="L43" s="25"/>
      <c r="M43" s="26" t="str">
        <f>IFERROR(IF(ISBLANK(L43),"",baoliuxiaoshuwei((L43*10/100)*C43,2)),"")</f>
        <v/>
      </c>
    </row>
    <row r="44" ht="20.25" customHeight="1" spans="1:13">
      <c r="A44" s="15"/>
      <c r="B44" s="15"/>
      <c r="C44" s="16"/>
      <c r="D44" s="4" t="s">
        <v>53</v>
      </c>
      <c r="K44" s="24" t="str">
        <f>IFERROR(IF(ISBLANK(F44),"",baoliuxiaoshuwei(F44*J44,3)),"")</f>
        <v/>
      </c>
      <c r="L44" s="27"/>
      <c r="M44" s="28"/>
    </row>
    <row r="45" ht="20.25" customHeight="1" spans="1:13">
      <c r="A45" s="18"/>
      <c r="B45" s="18"/>
      <c r="C45" s="19"/>
      <c r="D45" s="4" t="s">
        <v>54</v>
      </c>
      <c r="K45" s="24" t="str">
        <f>IFERROR(IF(ISBLANK(F45),"",baoliuxiaoshuwei(F45*J45,3)),"")</f>
        <v/>
      </c>
      <c r="L45" s="29"/>
      <c r="M45" s="30"/>
    </row>
    <row r="46" ht="20.25" customHeight="1" spans="1:13">
      <c r="A46" s="13"/>
      <c r="B46" s="13"/>
      <c r="C46" s="14"/>
      <c r="D46" s="4" t="s">
        <v>52</v>
      </c>
      <c r="K46" s="24" t="str">
        <f>IFERROR(IF(ISBLANK(F46),"",baoliuxiaoshuwei(F46*J46,3)),"")</f>
        <v/>
      </c>
      <c r="L46" s="25"/>
      <c r="M46" s="26" t="str">
        <f>IFERROR(IF(ISBLANK(L46),"",baoliuxiaoshuwei((L46*10/100)*C46,2)),"")</f>
        <v/>
      </c>
    </row>
    <row r="47" ht="20.25" customHeight="1" spans="1:13">
      <c r="A47" s="15"/>
      <c r="B47" s="15"/>
      <c r="C47" s="16"/>
      <c r="D47" s="4" t="s">
        <v>53</v>
      </c>
      <c r="K47" s="24" t="str">
        <f>IFERROR(IF(ISBLANK(F47),"",baoliuxiaoshuwei(F47*J47,3)),"")</f>
        <v/>
      </c>
      <c r="L47" s="27"/>
      <c r="M47" s="28"/>
    </row>
    <row r="48" ht="20.25" customHeight="1" spans="1:13">
      <c r="A48" s="18"/>
      <c r="B48" s="18"/>
      <c r="C48" s="19"/>
      <c r="D48" s="4" t="s">
        <v>54</v>
      </c>
      <c r="K48" s="24" t="str">
        <f>IFERROR(IF(ISBLANK(F48),"",baoliuxiaoshuwei(F48*J48,3)),"")</f>
        <v/>
      </c>
      <c r="L48" s="29"/>
      <c r="M48" s="30"/>
    </row>
    <row r="49" ht="20.25" customHeight="1" spans="1:13">
      <c r="A49" s="13"/>
      <c r="B49" s="13"/>
      <c r="C49" s="14"/>
      <c r="D49" s="4" t="s">
        <v>52</v>
      </c>
      <c r="K49" s="24" t="str">
        <f>IFERROR(IF(ISBLANK(F49),"",baoliuxiaoshuwei(F49*J49,3)),"")</f>
        <v/>
      </c>
      <c r="L49" s="25"/>
      <c r="M49" s="26" t="str">
        <f>IFERROR(IF(ISBLANK(L49),"",baoliuxiaoshuwei((L49*10/100)*C49,2)),"")</f>
        <v/>
      </c>
    </row>
    <row r="50" ht="20.25" customHeight="1" spans="1:13">
      <c r="A50" s="15"/>
      <c r="B50" s="15"/>
      <c r="C50" s="16"/>
      <c r="D50" s="4" t="s">
        <v>53</v>
      </c>
      <c r="K50" s="24" t="str">
        <f>IFERROR(IF(ISBLANK(F50),"",baoliuxiaoshuwei(F50*J50,3)),"")</f>
        <v/>
      </c>
      <c r="L50" s="27"/>
      <c r="M50" s="28"/>
    </row>
    <row r="51" ht="20.25" customHeight="1" spans="1:13">
      <c r="A51" s="18"/>
      <c r="B51" s="18"/>
      <c r="C51" s="19"/>
      <c r="D51" s="4" t="s">
        <v>54</v>
      </c>
      <c r="K51" s="24" t="str">
        <f>IFERROR(IF(ISBLANK(F51),"",baoliuxiaoshuwei(F51*J51,3)),"")</f>
        <v/>
      </c>
      <c r="L51" s="29"/>
      <c r="M51" s="30"/>
    </row>
    <row r="52" ht="20.25" customHeight="1" spans="1:13">
      <c r="A52" s="13"/>
      <c r="B52" s="13"/>
      <c r="C52" s="14"/>
      <c r="D52" s="4" t="s">
        <v>52</v>
      </c>
      <c r="K52" s="24" t="str">
        <f>IFERROR(IF(ISBLANK(F52),"",baoliuxiaoshuwei(F52*J52,3)),"")</f>
        <v/>
      </c>
      <c r="L52" s="25"/>
      <c r="M52" s="26" t="str">
        <f>IFERROR(IF(ISBLANK(L52),"",baoliuxiaoshuwei((L52*10/100)*C52,2)),"")</f>
        <v/>
      </c>
    </row>
    <row r="53" ht="20.25" customHeight="1" spans="1:13">
      <c r="A53" s="15"/>
      <c r="B53" s="15"/>
      <c r="C53" s="16"/>
      <c r="D53" s="4" t="s">
        <v>53</v>
      </c>
      <c r="K53" s="24" t="str">
        <f>IFERROR(IF(ISBLANK(F53),"",baoliuxiaoshuwei(F53*J53,3)),"")</f>
        <v/>
      </c>
      <c r="L53" s="27"/>
      <c r="M53" s="28"/>
    </row>
    <row r="54" ht="20.25" customHeight="1" spans="1:13">
      <c r="A54" s="18"/>
      <c r="B54" s="18"/>
      <c r="C54" s="19"/>
      <c r="D54" s="4" t="s">
        <v>54</v>
      </c>
      <c r="K54" s="24" t="str">
        <f>IFERROR(IF(ISBLANK(F54),"",baoliuxiaoshuwei(F54*J54,3)),"")</f>
        <v/>
      </c>
      <c r="L54" s="29"/>
      <c r="M54" s="30"/>
    </row>
    <row r="55" ht="20.25" customHeight="1" spans="1:13">
      <c r="A55" s="13"/>
      <c r="B55" s="13"/>
      <c r="C55" s="14"/>
      <c r="D55" s="4" t="s">
        <v>52</v>
      </c>
      <c r="K55" s="24" t="str">
        <f>IFERROR(IF(ISBLANK(F55),"",baoliuxiaoshuwei(F55*J55,3)),"")</f>
        <v/>
      </c>
      <c r="L55" s="25"/>
      <c r="M55" s="26" t="str">
        <f>IFERROR(IF(ISBLANK(L55),"",baoliuxiaoshuwei((L55*10/100)*C55,2)),"")</f>
        <v/>
      </c>
    </row>
    <row r="56" ht="20.25" customHeight="1" spans="1:13">
      <c r="A56" s="15"/>
      <c r="B56" s="15"/>
      <c r="C56" s="16"/>
      <c r="D56" s="4" t="s">
        <v>53</v>
      </c>
      <c r="K56" s="24" t="str">
        <f>IFERROR(IF(ISBLANK(F56),"",baoliuxiaoshuwei(F56*J56,3)),"")</f>
        <v/>
      </c>
      <c r="L56" s="27"/>
      <c r="M56" s="28"/>
    </row>
    <row r="57" ht="20.25" customHeight="1" spans="1:13">
      <c r="A57" s="18"/>
      <c r="B57" s="18"/>
      <c r="C57" s="19"/>
      <c r="D57" s="4" t="s">
        <v>54</v>
      </c>
      <c r="K57" s="24" t="str">
        <f>IFERROR(IF(ISBLANK(F57),"",baoliuxiaoshuwei(F57*J57,3)),"")</f>
        <v/>
      </c>
      <c r="L57" s="29"/>
      <c r="M57" s="30"/>
    </row>
    <row r="58" ht="20.25" customHeight="1" spans="1:13">
      <c r="A58" s="13"/>
      <c r="B58" s="13"/>
      <c r="C58" s="14"/>
      <c r="D58" s="4" t="s">
        <v>52</v>
      </c>
      <c r="K58" s="24" t="str">
        <f>IFERROR(IF(ISBLANK(F58),"",baoliuxiaoshuwei(F58*J58,3)),"")</f>
        <v/>
      </c>
      <c r="L58" s="25"/>
      <c r="M58" s="26" t="str">
        <f>IFERROR(IF(ISBLANK(L58),"",baoliuxiaoshuwei((L58*10/100)*C58,2)),"")</f>
        <v/>
      </c>
    </row>
    <row r="59" ht="20.25" customHeight="1" spans="1:13">
      <c r="A59" s="15"/>
      <c r="B59" s="15"/>
      <c r="C59" s="16"/>
      <c r="D59" s="4" t="s">
        <v>53</v>
      </c>
      <c r="K59" s="24" t="str">
        <f>IFERROR(IF(ISBLANK(F59),"",baoliuxiaoshuwei(F59*J59,3)),"")</f>
        <v/>
      </c>
      <c r="L59" s="27"/>
      <c r="M59" s="28"/>
    </row>
    <row r="60" ht="20.25" customHeight="1" spans="1:13">
      <c r="A60" s="18"/>
      <c r="B60" s="18"/>
      <c r="C60" s="19"/>
      <c r="D60" s="4" t="s">
        <v>54</v>
      </c>
      <c r="K60" s="24" t="str">
        <f>IFERROR(IF(ISBLANK(F60),"",baoliuxiaoshuwei(F60*J60,3)),"")</f>
        <v/>
      </c>
      <c r="L60" s="29"/>
      <c r="M60" s="30"/>
    </row>
    <row r="61" ht="20.25" customHeight="1" spans="1:13">
      <c r="A61" s="13"/>
      <c r="B61" s="13"/>
      <c r="C61" s="14"/>
      <c r="D61" s="4" t="s">
        <v>52</v>
      </c>
      <c r="K61" s="24" t="str">
        <f>IFERROR(IF(ISBLANK(F61),"",baoliuxiaoshuwei(F61*J61,3)),"")</f>
        <v/>
      </c>
      <c r="L61" s="25"/>
      <c r="M61" s="26" t="str">
        <f>IFERROR(IF(ISBLANK(L61),"",baoliuxiaoshuwei((L61*10/100)*C61,2)),"")</f>
        <v/>
      </c>
    </row>
    <row r="62" ht="20.25" customHeight="1" spans="1:13">
      <c r="A62" s="15"/>
      <c r="B62" s="15"/>
      <c r="C62" s="16"/>
      <c r="D62" s="4" t="s">
        <v>53</v>
      </c>
      <c r="K62" s="24" t="str">
        <f>IFERROR(IF(ISBLANK(F62),"",baoliuxiaoshuwei(F62*J62,3)),"")</f>
        <v/>
      </c>
      <c r="L62" s="27"/>
      <c r="M62" s="28"/>
    </row>
    <row r="63" ht="20.25" customHeight="1" spans="1:13">
      <c r="A63" s="18"/>
      <c r="B63" s="18"/>
      <c r="C63" s="19"/>
      <c r="D63" s="4" t="s">
        <v>54</v>
      </c>
      <c r="K63" s="24" t="str">
        <f>IFERROR(IF(ISBLANK(F63),"",baoliuxiaoshuwei(F63*J63,3)),"")</f>
        <v/>
      </c>
      <c r="L63" s="29"/>
      <c r="M63" s="30"/>
    </row>
    <row r="64" ht="20.25" customHeight="1" spans="1:13">
      <c r="A64" s="13"/>
      <c r="B64" s="13"/>
      <c r="C64" s="14"/>
      <c r="D64" s="4" t="s">
        <v>52</v>
      </c>
      <c r="K64" s="24" t="str">
        <f>IFERROR(IF(ISBLANK(F64),"",baoliuxiaoshuwei(F64*J64,3)),"")</f>
        <v/>
      </c>
      <c r="L64" s="25"/>
      <c r="M64" s="26" t="str">
        <f>IFERROR(IF(ISBLANK(L64),"",baoliuxiaoshuwei((L64*10/100)*C64,2)),"")</f>
        <v/>
      </c>
    </row>
    <row r="65" ht="20.25" customHeight="1" spans="1:13">
      <c r="A65" s="15"/>
      <c r="B65" s="15"/>
      <c r="C65" s="16"/>
      <c r="D65" s="4" t="s">
        <v>53</v>
      </c>
      <c r="K65" s="24" t="str">
        <f>IFERROR(IF(ISBLANK(F65),"",baoliuxiaoshuwei(F65*J65,3)),"")</f>
        <v/>
      </c>
      <c r="L65" s="27"/>
      <c r="M65" s="28"/>
    </row>
    <row r="66" ht="20.25" customHeight="1" spans="1:13">
      <c r="A66" s="18"/>
      <c r="B66" s="18"/>
      <c r="C66" s="19"/>
      <c r="D66" s="4" t="s">
        <v>54</v>
      </c>
      <c r="K66" s="24" t="str">
        <f>IFERROR(IF(ISBLANK(F66),"",baoliuxiaoshuwei(F66*J66,3)),"")</f>
        <v/>
      </c>
      <c r="L66" s="29"/>
      <c r="M66" s="30"/>
    </row>
    <row r="67" ht="20.25" customHeight="1" spans="1:13">
      <c r="A67" s="13"/>
      <c r="B67" s="13"/>
      <c r="C67" s="14"/>
      <c r="D67" s="4" t="s">
        <v>52</v>
      </c>
      <c r="K67" s="24" t="str">
        <f>IFERROR(IF(ISBLANK(F67),"",baoliuxiaoshuwei(F67*J67,3)),"")</f>
        <v/>
      </c>
      <c r="L67" s="25"/>
      <c r="M67" s="26" t="str">
        <f>IFERROR(IF(ISBLANK(L67),"",baoliuxiaoshuwei((L67*10/100)*C67,2)),"")</f>
        <v/>
      </c>
    </row>
    <row r="68" ht="20.25" customHeight="1" spans="1:13">
      <c r="A68" s="15"/>
      <c r="B68" s="15"/>
      <c r="C68" s="16"/>
      <c r="D68" s="4" t="s">
        <v>53</v>
      </c>
      <c r="K68" s="24" t="str">
        <f>IFERROR(IF(ISBLANK(F68),"",baoliuxiaoshuwei(F68*J68,3)),"")</f>
        <v/>
      </c>
      <c r="L68" s="27"/>
      <c r="M68" s="28"/>
    </row>
    <row r="69" ht="20.25" customHeight="1" spans="1:13">
      <c r="A69" s="18"/>
      <c r="B69" s="18"/>
      <c r="C69" s="19"/>
      <c r="D69" s="4" t="s">
        <v>54</v>
      </c>
      <c r="K69" s="24" t="str">
        <f>IFERROR(IF(ISBLANK(F69),"",baoliuxiaoshuwei(F69*J69,3)),"")</f>
        <v/>
      </c>
      <c r="L69" s="29"/>
      <c r="M69" s="30"/>
    </row>
    <row r="70" ht="20.25" customHeight="1" spans="1:13">
      <c r="A70" s="13"/>
      <c r="B70" s="13"/>
      <c r="C70" s="14"/>
      <c r="D70" s="4" t="s">
        <v>52</v>
      </c>
      <c r="K70" s="24" t="str">
        <f>IFERROR(IF(ISBLANK(F70),"",baoliuxiaoshuwei(F70*J70,3)),"")</f>
        <v/>
      </c>
      <c r="L70" s="25"/>
      <c r="M70" s="26" t="str">
        <f>IFERROR(IF(ISBLANK(L70),"",baoliuxiaoshuwei((L70*10/100)*C70,2)),"")</f>
        <v/>
      </c>
    </row>
    <row r="71" ht="20.25" customHeight="1" spans="1:13">
      <c r="A71" s="15"/>
      <c r="B71" s="15"/>
      <c r="C71" s="16"/>
      <c r="D71" s="4" t="s">
        <v>53</v>
      </c>
      <c r="K71" s="24" t="str">
        <f>IFERROR(IF(ISBLANK(F71),"",baoliuxiaoshuwei(F71*J71,3)),"")</f>
        <v/>
      </c>
      <c r="L71" s="27"/>
      <c r="M71" s="28"/>
    </row>
    <row r="72" ht="20.25" customHeight="1" spans="1:13">
      <c r="A72" s="18"/>
      <c r="B72" s="18"/>
      <c r="C72" s="19"/>
      <c r="D72" s="4" t="s">
        <v>54</v>
      </c>
      <c r="K72" s="24" t="str">
        <f>IFERROR(IF(ISBLANK(F72),"",baoliuxiaoshuwei(F72*J72,3)),"")</f>
        <v/>
      </c>
      <c r="L72" s="29"/>
      <c r="M72" s="30"/>
    </row>
    <row r="73" ht="20.25" customHeight="1" spans="1:13">
      <c r="A73" s="13"/>
      <c r="B73" s="13"/>
      <c r="C73" s="14"/>
      <c r="D73" s="4" t="s">
        <v>52</v>
      </c>
      <c r="K73" s="24" t="str">
        <f>IFERROR(IF(ISBLANK(F73),"",baoliuxiaoshuwei(F73*J73,3)),"")</f>
        <v/>
      </c>
      <c r="L73" s="25"/>
      <c r="M73" s="26" t="str">
        <f>IFERROR(IF(ISBLANK(L73),"",baoliuxiaoshuwei((L73*10/100)*C73,2)),"")</f>
        <v/>
      </c>
    </row>
    <row r="74" ht="20.25" customHeight="1" spans="1:13">
      <c r="A74" s="15"/>
      <c r="B74" s="15"/>
      <c r="C74" s="16"/>
      <c r="D74" s="4" t="s">
        <v>53</v>
      </c>
      <c r="K74" s="24" t="str">
        <f>IFERROR(IF(ISBLANK(F74),"",baoliuxiaoshuwei(F74*J74,3)),"")</f>
        <v/>
      </c>
      <c r="L74" s="27"/>
      <c r="M74" s="28"/>
    </row>
    <row r="75" ht="20.25" customHeight="1" spans="1:13">
      <c r="A75" s="18"/>
      <c r="B75" s="18"/>
      <c r="C75" s="19"/>
      <c r="D75" s="4" t="s">
        <v>54</v>
      </c>
      <c r="K75" s="24" t="str">
        <f>IFERROR(IF(ISBLANK(F75),"",baoliuxiaoshuwei(F75*J75,3)),"")</f>
        <v/>
      </c>
      <c r="L75" s="29"/>
      <c r="M75" s="30"/>
    </row>
    <row r="76" ht="20.25" customHeight="1" spans="1:13">
      <c r="A76" s="13"/>
      <c r="B76" s="13"/>
      <c r="C76" s="14"/>
      <c r="D76" s="4" t="s">
        <v>52</v>
      </c>
      <c r="K76" s="24" t="str">
        <f>IFERROR(IF(ISBLANK(F76),"",baoliuxiaoshuwei(F76*J76,3)),"")</f>
        <v/>
      </c>
      <c r="L76" s="25"/>
      <c r="M76" s="26" t="str">
        <f>IFERROR(IF(ISBLANK(L76),"",baoliuxiaoshuwei((L76*10/100)*C76,2)),"")</f>
        <v/>
      </c>
    </row>
    <row r="77" ht="20.25" customHeight="1" spans="1:13">
      <c r="A77" s="15"/>
      <c r="B77" s="15"/>
      <c r="C77" s="16"/>
      <c r="D77" s="4" t="s">
        <v>53</v>
      </c>
      <c r="K77" s="24" t="str">
        <f>IFERROR(IF(ISBLANK(F77),"",baoliuxiaoshuwei(F77*J77,3)),"")</f>
        <v/>
      </c>
      <c r="L77" s="27"/>
      <c r="M77" s="28"/>
    </row>
    <row r="78" ht="20.25" customHeight="1" spans="1:13">
      <c r="A78" s="18"/>
      <c r="B78" s="18"/>
      <c r="C78" s="19"/>
      <c r="D78" s="4" t="s">
        <v>54</v>
      </c>
      <c r="K78" s="24" t="str">
        <f>IFERROR(IF(ISBLANK(F78),"",baoliuxiaoshuwei(F78*J78,3)),"")</f>
        <v/>
      </c>
      <c r="L78" s="29"/>
      <c r="M78" s="30"/>
    </row>
    <row r="79" ht="20.25" customHeight="1" spans="1:13">
      <c r="A79" s="13"/>
      <c r="B79" s="13"/>
      <c r="C79" s="14"/>
      <c r="D79" s="4" t="s">
        <v>52</v>
      </c>
      <c r="K79" s="24" t="str">
        <f>IFERROR(IF(ISBLANK(F79),"",baoliuxiaoshuwei(F79*J79,3)),"")</f>
        <v/>
      </c>
      <c r="L79" s="25"/>
      <c r="M79" s="26" t="str">
        <f>IFERROR(IF(ISBLANK(L79),"",baoliuxiaoshuwei((L79*10/100)*C79,2)),"")</f>
        <v/>
      </c>
    </row>
    <row r="80" ht="20.25" customHeight="1" spans="1:13">
      <c r="A80" s="15"/>
      <c r="B80" s="15"/>
      <c r="C80" s="16"/>
      <c r="D80" s="4" t="s">
        <v>53</v>
      </c>
      <c r="K80" s="24" t="str">
        <f>IFERROR(IF(ISBLANK(F80),"",baoliuxiaoshuwei(F80*J80,3)),"")</f>
        <v/>
      </c>
      <c r="L80" s="27"/>
      <c r="M80" s="28"/>
    </row>
    <row r="81" ht="20.25" customHeight="1" spans="1:13">
      <c r="A81" s="18"/>
      <c r="B81" s="18"/>
      <c r="C81" s="19"/>
      <c r="D81" s="4" t="s">
        <v>54</v>
      </c>
      <c r="K81" s="24" t="str">
        <f>IFERROR(IF(ISBLANK(F81),"",baoliuxiaoshuwei(F81*J81,3)),"")</f>
        <v/>
      </c>
      <c r="L81" s="29"/>
      <c r="M81" s="30"/>
    </row>
    <row r="82" ht="20.25" customHeight="1" spans="1:13">
      <c r="A82" s="13"/>
      <c r="B82" s="13"/>
      <c r="C82" s="14"/>
      <c r="D82" s="4" t="s">
        <v>52</v>
      </c>
      <c r="K82" s="24" t="str">
        <f>IFERROR(IF(ISBLANK(F82),"",baoliuxiaoshuwei(F82*J82,3)),"")</f>
        <v/>
      </c>
      <c r="L82" s="25"/>
      <c r="M82" s="26" t="str">
        <f>IFERROR(IF(ISBLANK(L82),"",baoliuxiaoshuwei((L82*10/100)*C82,2)),"")</f>
        <v/>
      </c>
    </row>
    <row r="83" ht="20.25" customHeight="1" spans="1:13">
      <c r="A83" s="15"/>
      <c r="B83" s="15"/>
      <c r="C83" s="16"/>
      <c r="D83" s="4" t="s">
        <v>53</v>
      </c>
      <c r="K83" s="24" t="str">
        <f>IFERROR(IF(ISBLANK(F83),"",baoliuxiaoshuwei(F83*J83,3)),"")</f>
        <v/>
      </c>
      <c r="L83" s="27"/>
      <c r="M83" s="28"/>
    </row>
    <row r="84" ht="20.25" customHeight="1" spans="1:13">
      <c r="A84" s="18"/>
      <c r="B84" s="18"/>
      <c r="C84" s="19"/>
      <c r="D84" s="4" t="s">
        <v>54</v>
      </c>
      <c r="K84" s="24" t="str">
        <f>IFERROR(IF(ISBLANK(F84),"",baoliuxiaoshuwei(F84*J84,3)),"")</f>
        <v/>
      </c>
      <c r="L84" s="29"/>
      <c r="M84" s="30"/>
    </row>
    <row r="85" ht="20.25" customHeight="1" spans="1:13">
      <c r="A85" s="13"/>
      <c r="B85" s="13"/>
      <c r="C85" s="14"/>
      <c r="D85" s="4" t="s">
        <v>52</v>
      </c>
      <c r="K85" s="24" t="str">
        <f>IFERROR(IF(ISBLANK(F85),"",baoliuxiaoshuwei(F85*J85,3)),"")</f>
        <v/>
      </c>
      <c r="L85" s="25"/>
      <c r="M85" s="26" t="str">
        <f>IFERROR(IF(ISBLANK(L85),"",baoliuxiaoshuwei((L85*10/100)*C85,2)),"")</f>
        <v/>
      </c>
    </row>
    <row r="86" ht="20.25" customHeight="1" spans="1:13">
      <c r="A86" s="15"/>
      <c r="B86" s="15"/>
      <c r="C86" s="16"/>
      <c r="D86" s="4" t="s">
        <v>53</v>
      </c>
      <c r="K86" s="24" t="str">
        <f>IFERROR(IF(ISBLANK(F86),"",baoliuxiaoshuwei(F86*J86,3)),"")</f>
        <v/>
      </c>
      <c r="L86" s="27"/>
      <c r="M86" s="28"/>
    </row>
    <row r="87" ht="20.25" customHeight="1" spans="1:13">
      <c r="A87" s="18"/>
      <c r="B87" s="18"/>
      <c r="C87" s="19"/>
      <c r="D87" s="4" t="s">
        <v>54</v>
      </c>
      <c r="K87" s="24" t="str">
        <f>IFERROR(IF(ISBLANK(F87),"",baoliuxiaoshuwei(F87*J87,3)),"")</f>
        <v/>
      </c>
      <c r="L87" s="29"/>
      <c r="M87" s="30"/>
    </row>
    <row r="88" ht="20.25" customHeight="1" spans="1:13">
      <c r="A88" s="13"/>
      <c r="B88" s="13"/>
      <c r="C88" s="14"/>
      <c r="D88" s="4" t="s">
        <v>52</v>
      </c>
      <c r="K88" s="24" t="str">
        <f>IFERROR(IF(ISBLANK(F88),"",baoliuxiaoshuwei(F88*J88,3)),"")</f>
        <v/>
      </c>
      <c r="L88" s="25"/>
      <c r="M88" s="26" t="str">
        <f>IFERROR(IF(ISBLANK(L88),"",baoliuxiaoshuwei((L88*10/100)*C88,2)),"")</f>
        <v/>
      </c>
    </row>
    <row r="89" ht="20.25" customHeight="1" spans="1:13">
      <c r="A89" s="15"/>
      <c r="B89" s="15"/>
      <c r="C89" s="16"/>
      <c r="D89" s="4" t="s">
        <v>53</v>
      </c>
      <c r="K89" s="24" t="str">
        <f>IFERROR(IF(ISBLANK(F89),"",baoliuxiaoshuwei(F89*J89,3)),"")</f>
        <v/>
      </c>
      <c r="L89" s="27"/>
      <c r="M89" s="28"/>
    </row>
    <row r="90" ht="20.25" customHeight="1" spans="1:13">
      <c r="A90" s="18"/>
      <c r="B90" s="18"/>
      <c r="C90" s="19"/>
      <c r="D90" s="4" t="s">
        <v>54</v>
      </c>
      <c r="K90" s="24" t="str">
        <f>IFERROR(IF(ISBLANK(F90),"",baoliuxiaoshuwei(F90*J90,3)),"")</f>
        <v/>
      </c>
      <c r="L90" s="29"/>
      <c r="M90" s="30"/>
    </row>
    <row r="91" ht="20.25" customHeight="1" spans="1:13">
      <c r="A91" s="13"/>
      <c r="B91" s="13"/>
      <c r="C91" s="14"/>
      <c r="D91" s="4" t="s">
        <v>52</v>
      </c>
      <c r="K91" s="24" t="str">
        <f>IFERROR(IF(ISBLANK(F91),"",baoliuxiaoshuwei(F91*J91,3)),"")</f>
        <v/>
      </c>
      <c r="L91" s="25"/>
      <c r="M91" s="26" t="str">
        <f>IFERROR(IF(ISBLANK(L91),"",baoliuxiaoshuwei((L91*10/100)*C91,2)),"")</f>
        <v/>
      </c>
    </row>
    <row r="92" ht="20.25" customHeight="1" spans="1:13">
      <c r="A92" s="15"/>
      <c r="B92" s="15"/>
      <c r="C92" s="16"/>
      <c r="D92" s="4" t="s">
        <v>53</v>
      </c>
      <c r="K92" s="24" t="str">
        <f>IFERROR(IF(ISBLANK(F92),"",baoliuxiaoshuwei(F92*J92,3)),"")</f>
        <v/>
      </c>
      <c r="L92" s="27"/>
      <c r="M92" s="28"/>
    </row>
    <row r="93" ht="20.25" customHeight="1" spans="1:13">
      <c r="A93" s="18"/>
      <c r="B93" s="18"/>
      <c r="C93" s="19"/>
      <c r="D93" s="4" t="s">
        <v>54</v>
      </c>
      <c r="K93" s="24" t="str">
        <f>IFERROR(IF(ISBLANK(F93),"",baoliuxiaoshuwei(F93*J93,3)),"")</f>
        <v/>
      </c>
      <c r="L93" s="29"/>
      <c r="M93" s="30"/>
    </row>
    <row r="94" ht="20.25" customHeight="1" spans="1:13">
      <c r="A94" s="13"/>
      <c r="B94" s="13"/>
      <c r="C94" s="14"/>
      <c r="D94" s="4" t="s">
        <v>52</v>
      </c>
      <c r="K94" s="24" t="str">
        <f>IFERROR(IF(ISBLANK(F94),"",baoliuxiaoshuwei(F94*J94,3)),"")</f>
        <v/>
      </c>
      <c r="L94" s="25"/>
      <c r="M94" s="26" t="str">
        <f>IFERROR(IF(ISBLANK(L94),"",baoliuxiaoshuwei((L94*10/100)*C94,2)),"")</f>
        <v/>
      </c>
    </row>
    <row r="95" ht="20.25" customHeight="1" spans="1:13">
      <c r="A95" s="15"/>
      <c r="B95" s="15"/>
      <c r="C95" s="16"/>
      <c r="D95" s="4" t="s">
        <v>53</v>
      </c>
      <c r="K95" s="24" t="str">
        <f>IFERROR(IF(ISBLANK(F95),"",baoliuxiaoshuwei(F95*J95,3)),"")</f>
        <v/>
      </c>
      <c r="L95" s="27"/>
      <c r="M95" s="28"/>
    </row>
    <row r="96" ht="20.25" customHeight="1" spans="1:13">
      <c r="A96" s="18"/>
      <c r="B96" s="18"/>
      <c r="C96" s="19"/>
      <c r="D96" s="4" t="s">
        <v>54</v>
      </c>
      <c r="K96" s="24" t="str">
        <f>IFERROR(IF(ISBLANK(F96),"",baoliuxiaoshuwei(F96*J96,3)),"")</f>
        <v/>
      </c>
      <c r="L96" s="29"/>
      <c r="M96" s="30"/>
    </row>
    <row r="97" ht="20.25" customHeight="1" spans="1:13">
      <c r="A97" s="13"/>
      <c r="B97" s="13"/>
      <c r="C97" s="14"/>
      <c r="D97" s="4" t="s">
        <v>52</v>
      </c>
      <c r="K97" s="24" t="str">
        <f>IFERROR(IF(ISBLANK(F97),"",baoliuxiaoshuwei(F97*J97,3)),"")</f>
        <v/>
      </c>
      <c r="L97" s="25"/>
      <c r="M97" s="26" t="str">
        <f>IFERROR(IF(ISBLANK(L97),"",baoliuxiaoshuwei((L97*10/100)*C97,2)),"")</f>
        <v/>
      </c>
    </row>
    <row r="98" ht="20.25" customHeight="1" spans="1:13">
      <c r="A98" s="15"/>
      <c r="B98" s="15"/>
      <c r="C98" s="16"/>
      <c r="D98" s="4" t="s">
        <v>53</v>
      </c>
      <c r="K98" s="24" t="str">
        <f>IFERROR(IF(ISBLANK(F98),"",baoliuxiaoshuwei(F98*J98,3)),"")</f>
        <v/>
      </c>
      <c r="L98" s="27"/>
      <c r="M98" s="28"/>
    </row>
    <row r="99" ht="20.25" customHeight="1" spans="1:13">
      <c r="A99" s="18"/>
      <c r="B99" s="18"/>
      <c r="C99" s="19"/>
      <c r="D99" s="4" t="s">
        <v>54</v>
      </c>
      <c r="K99" s="24" t="str">
        <f>IFERROR(IF(ISBLANK(F99),"",baoliuxiaoshuwei(F99*J99,3)),"")</f>
        <v/>
      </c>
      <c r="L99" s="29"/>
      <c r="M99" s="30"/>
    </row>
    <row r="100" ht="20.25" customHeight="1" spans="1:13">
      <c r="A100" s="13"/>
      <c r="B100" s="13"/>
      <c r="C100" s="14"/>
      <c r="D100" s="4" t="s">
        <v>52</v>
      </c>
      <c r="K100" s="24" t="str">
        <f>IFERROR(IF(ISBLANK(F100),"",baoliuxiaoshuwei(F100*J100,3)),"")</f>
        <v/>
      </c>
      <c r="L100" s="25"/>
      <c r="M100" s="26" t="str">
        <f>IFERROR(IF(ISBLANK(L100),"",baoliuxiaoshuwei((L100*10/100)*C100,2)),"")</f>
        <v/>
      </c>
    </row>
    <row r="101" ht="20.25" customHeight="1" spans="1:13">
      <c r="A101" s="15"/>
      <c r="B101" s="15"/>
      <c r="C101" s="16"/>
      <c r="D101" s="4" t="s">
        <v>53</v>
      </c>
      <c r="K101" s="24" t="str">
        <f>IFERROR(IF(ISBLANK(F101),"",baoliuxiaoshuwei(F101*J101,3)),"")</f>
        <v/>
      </c>
      <c r="L101" s="27"/>
      <c r="M101" s="28"/>
    </row>
    <row r="102" ht="20.25" customHeight="1" spans="1:13">
      <c r="A102" s="18"/>
      <c r="B102" s="18"/>
      <c r="C102" s="19"/>
      <c r="D102" s="4" t="s">
        <v>54</v>
      </c>
      <c r="K102" s="24" t="str">
        <f>IFERROR(IF(ISBLANK(F102),"",baoliuxiaoshuwei(F102*J102,3)),"")</f>
        <v/>
      </c>
      <c r="L102" s="29"/>
      <c r="M102" s="30"/>
    </row>
    <row r="103" ht="20.25" customHeight="1" spans="1:13">
      <c r="A103" s="13"/>
      <c r="B103" s="13"/>
      <c r="C103" s="14"/>
      <c r="D103" s="4" t="s">
        <v>52</v>
      </c>
      <c r="K103" s="24" t="str">
        <f>IFERROR(IF(ISBLANK(F103),"",baoliuxiaoshuwei(F103*J103,3)),"")</f>
        <v/>
      </c>
      <c r="L103" s="25"/>
      <c r="M103" s="26" t="str">
        <f>IFERROR(IF(ISBLANK(L103),"",baoliuxiaoshuwei((L103*10/100)*C103,2)),"")</f>
        <v/>
      </c>
    </row>
    <row r="104" ht="20.25" customHeight="1" spans="1:13">
      <c r="A104" s="15"/>
      <c r="B104" s="15"/>
      <c r="C104" s="16"/>
      <c r="D104" s="4" t="s">
        <v>53</v>
      </c>
      <c r="K104" s="24" t="str">
        <f>IFERROR(IF(ISBLANK(F104),"",baoliuxiaoshuwei(F104*J104,3)),"")</f>
        <v/>
      </c>
      <c r="L104" s="27"/>
      <c r="M104" s="28"/>
    </row>
    <row r="105" ht="20.25" customHeight="1" spans="1:13">
      <c r="A105" s="18"/>
      <c r="B105" s="18"/>
      <c r="C105" s="19"/>
      <c r="D105" s="4" t="s">
        <v>54</v>
      </c>
      <c r="K105" s="24" t="str">
        <f>IFERROR(IF(ISBLANK(F105),"",baoliuxiaoshuwei(F105*J105,3)),"")</f>
        <v/>
      </c>
      <c r="L105" s="29"/>
      <c r="M105" s="30"/>
    </row>
    <row r="106" ht="20.25" customHeight="1" spans="1:13">
      <c r="A106" s="13"/>
      <c r="B106" s="13"/>
      <c r="C106" s="14"/>
      <c r="D106" s="4" t="s">
        <v>52</v>
      </c>
      <c r="K106" s="24" t="str">
        <f>IFERROR(IF(ISBLANK(F106),"",baoliuxiaoshuwei(F106*J106,3)),"")</f>
        <v/>
      </c>
      <c r="L106" s="25"/>
      <c r="M106" s="26" t="str">
        <f>IFERROR(IF(ISBLANK(L106),"",baoliuxiaoshuwei((L106*10/100)*C106,2)),"")</f>
        <v/>
      </c>
    </row>
    <row r="107" ht="20.25" customHeight="1" spans="1:13">
      <c r="A107" s="15"/>
      <c r="B107" s="15"/>
      <c r="C107" s="16"/>
      <c r="D107" s="4" t="s">
        <v>53</v>
      </c>
      <c r="K107" s="24" t="str">
        <f>IFERROR(IF(ISBLANK(F107),"",baoliuxiaoshuwei(F107*J107,3)),"")</f>
        <v/>
      </c>
      <c r="L107" s="27"/>
      <c r="M107" s="28"/>
    </row>
    <row r="108" ht="20.25" customHeight="1" spans="1:13">
      <c r="A108" s="18"/>
      <c r="B108" s="18"/>
      <c r="C108" s="19"/>
      <c r="D108" s="4" t="s">
        <v>54</v>
      </c>
      <c r="K108" s="24" t="str">
        <f>IFERROR(IF(ISBLANK(F108),"",baoliuxiaoshuwei(F108*J108,3)),"")</f>
        <v/>
      </c>
      <c r="L108" s="29"/>
      <c r="M108" s="30"/>
    </row>
    <row r="109" ht="20.25" customHeight="1" spans="1:13">
      <c r="A109" s="13"/>
      <c r="B109" s="13"/>
      <c r="C109" s="14"/>
      <c r="D109" s="4" t="s">
        <v>52</v>
      </c>
      <c r="K109" s="24" t="str">
        <f>IFERROR(IF(ISBLANK(F109),"",baoliuxiaoshuwei(F109*J109,3)),"")</f>
        <v/>
      </c>
      <c r="L109" s="25"/>
      <c r="M109" s="26" t="str">
        <f>IFERROR(IF(ISBLANK(L109),"",baoliuxiaoshuwei((L109*10/100)*C109,2)),"")</f>
        <v/>
      </c>
    </row>
    <row r="110" ht="20.25" customHeight="1" spans="1:13">
      <c r="A110" s="15"/>
      <c r="B110" s="15"/>
      <c r="C110" s="16"/>
      <c r="D110" s="4" t="s">
        <v>53</v>
      </c>
      <c r="K110" s="24" t="str">
        <f>IFERROR(IF(ISBLANK(F110),"",baoliuxiaoshuwei(F110*J110,3)),"")</f>
        <v/>
      </c>
      <c r="L110" s="27"/>
      <c r="M110" s="28"/>
    </row>
    <row r="111" ht="20.25" customHeight="1" spans="1:13">
      <c r="A111" s="18"/>
      <c r="B111" s="18"/>
      <c r="C111" s="19"/>
      <c r="D111" s="4" t="s">
        <v>54</v>
      </c>
      <c r="K111" s="24" t="str">
        <f>IFERROR(IF(ISBLANK(F111),"",baoliuxiaoshuwei(F111*J111,3)),"")</f>
        <v/>
      </c>
      <c r="L111" s="29"/>
      <c r="M111" s="30"/>
    </row>
    <row r="112" ht="20.25" customHeight="1" spans="1:13">
      <c r="A112" s="13"/>
      <c r="B112" s="13"/>
      <c r="C112" s="14"/>
      <c r="D112" s="4" t="s">
        <v>52</v>
      </c>
      <c r="K112" s="24" t="str">
        <f>IFERROR(IF(ISBLANK(F112),"",baoliuxiaoshuwei(F112*J112,3)),"")</f>
        <v/>
      </c>
      <c r="L112" s="25"/>
      <c r="M112" s="26" t="str">
        <f>IFERROR(IF(ISBLANK(L112),"",baoliuxiaoshuwei((L112*10/100)*C112,2)),"")</f>
        <v/>
      </c>
    </row>
    <row r="113" ht="20.25" customHeight="1" spans="1:13">
      <c r="A113" s="15"/>
      <c r="B113" s="15"/>
      <c r="C113" s="16"/>
      <c r="D113" s="4" t="s">
        <v>53</v>
      </c>
      <c r="K113" s="24" t="str">
        <f>IFERROR(IF(ISBLANK(F113),"",baoliuxiaoshuwei(F113*J113,3)),"")</f>
        <v/>
      </c>
      <c r="L113" s="27"/>
      <c r="M113" s="28"/>
    </row>
    <row r="114" ht="20.25" customHeight="1" spans="1:13">
      <c r="A114" s="18"/>
      <c r="B114" s="18"/>
      <c r="C114" s="19"/>
      <c r="D114" s="4" t="s">
        <v>54</v>
      </c>
      <c r="K114" s="24" t="str">
        <f>IFERROR(IF(ISBLANK(F114),"",baoliuxiaoshuwei(F114*J114,3)),"")</f>
        <v/>
      </c>
      <c r="L114" s="29"/>
      <c r="M114" s="30"/>
    </row>
    <row r="115" ht="20.25" customHeight="1" spans="1:13">
      <c r="A115" s="13"/>
      <c r="B115" s="13"/>
      <c r="C115" s="14"/>
      <c r="D115" s="4" t="s">
        <v>52</v>
      </c>
      <c r="K115" s="24" t="str">
        <f>IFERROR(IF(ISBLANK(F115),"",baoliuxiaoshuwei(F115*J115,3)),"")</f>
        <v/>
      </c>
      <c r="L115" s="25"/>
      <c r="M115" s="26" t="str">
        <f>IFERROR(IF(ISBLANK(L115),"",baoliuxiaoshuwei((L115*10/100)*C115,2)),"")</f>
        <v/>
      </c>
    </row>
    <row r="116" ht="20.25" customHeight="1" spans="1:13">
      <c r="A116" s="15"/>
      <c r="B116" s="15"/>
      <c r="C116" s="16"/>
      <c r="D116" s="4" t="s">
        <v>53</v>
      </c>
      <c r="K116" s="24" t="str">
        <f>IFERROR(IF(ISBLANK(F116),"",baoliuxiaoshuwei(F116*J116,3)),"")</f>
        <v/>
      </c>
      <c r="L116" s="27"/>
      <c r="M116" s="28"/>
    </row>
    <row r="117" ht="20.25" customHeight="1" spans="1:13">
      <c r="A117" s="18"/>
      <c r="B117" s="18"/>
      <c r="C117" s="19"/>
      <c r="D117" s="4" t="s">
        <v>54</v>
      </c>
      <c r="K117" s="24" t="str">
        <f>IFERROR(IF(ISBLANK(F117),"",baoliuxiaoshuwei(F117*J117,3)),"")</f>
        <v/>
      </c>
      <c r="L117" s="29"/>
      <c r="M117" s="30"/>
    </row>
    <row r="118" ht="20.25" customHeight="1" spans="1:13">
      <c r="A118" s="13"/>
      <c r="B118" s="13"/>
      <c r="C118" s="14"/>
      <c r="D118" s="4" t="s">
        <v>52</v>
      </c>
      <c r="K118" s="24" t="str">
        <f>IFERROR(IF(ISBLANK(F118),"",baoliuxiaoshuwei(F118*J118,3)),"")</f>
        <v/>
      </c>
      <c r="L118" s="25"/>
      <c r="M118" s="26" t="str">
        <f>IFERROR(IF(ISBLANK(L118),"",baoliuxiaoshuwei((L118*10/100)*C118,2)),"")</f>
        <v/>
      </c>
    </row>
    <row r="119" ht="20.25" customHeight="1" spans="1:13">
      <c r="A119" s="15"/>
      <c r="B119" s="15"/>
      <c r="C119" s="16"/>
      <c r="D119" s="4" t="s">
        <v>53</v>
      </c>
      <c r="K119" s="24" t="str">
        <f>IFERROR(IF(ISBLANK(F119),"",baoliuxiaoshuwei(F119*J119,3)),"")</f>
        <v/>
      </c>
      <c r="L119" s="27"/>
      <c r="M119" s="28"/>
    </row>
    <row r="120" ht="20.25" customHeight="1" spans="1:13">
      <c r="A120" s="18"/>
      <c r="B120" s="18"/>
      <c r="C120" s="19"/>
      <c r="D120" s="4" t="s">
        <v>54</v>
      </c>
      <c r="K120" s="24" t="str">
        <f>IFERROR(IF(ISBLANK(F120),"",baoliuxiaoshuwei(F120*J120,3)),"")</f>
        <v/>
      </c>
      <c r="L120" s="29"/>
      <c r="M120" s="30"/>
    </row>
    <row r="121" ht="20.25" customHeight="1" spans="1:13">
      <c r="A121" s="13"/>
      <c r="B121" s="13"/>
      <c r="C121" s="14"/>
      <c r="D121" s="4" t="s">
        <v>52</v>
      </c>
      <c r="K121" s="24" t="str">
        <f>IFERROR(IF(ISBLANK(F121),"",baoliuxiaoshuwei(F121*J121,3)),"")</f>
        <v/>
      </c>
      <c r="L121" s="25"/>
      <c r="M121" s="26" t="str">
        <f>IFERROR(IF(ISBLANK(L121),"",baoliuxiaoshuwei((L121*10/100)*C121,2)),"")</f>
        <v/>
      </c>
    </row>
    <row r="122" ht="20.25" customHeight="1" spans="1:13">
      <c r="A122" s="15"/>
      <c r="B122" s="15"/>
      <c r="C122" s="16"/>
      <c r="D122" s="4" t="s">
        <v>53</v>
      </c>
      <c r="K122" s="24" t="str">
        <f>IFERROR(IF(ISBLANK(F122),"",baoliuxiaoshuwei(F122*J122,3)),"")</f>
        <v/>
      </c>
      <c r="L122" s="27"/>
      <c r="M122" s="28"/>
    </row>
    <row r="123" ht="20.25" customHeight="1" spans="1:13">
      <c r="A123" s="18"/>
      <c r="B123" s="18"/>
      <c r="C123" s="19"/>
      <c r="D123" s="4" t="s">
        <v>54</v>
      </c>
      <c r="K123" s="24" t="str">
        <f>IFERROR(IF(ISBLANK(F123),"",baoliuxiaoshuwei(F123*J123,3)),"")</f>
        <v/>
      </c>
      <c r="L123" s="29"/>
      <c r="M123" s="30"/>
    </row>
    <row r="124" ht="20.25" customHeight="1" spans="1:13">
      <c r="A124" s="13"/>
      <c r="B124" s="13"/>
      <c r="C124" s="14"/>
      <c r="D124" s="4" t="s">
        <v>52</v>
      </c>
      <c r="K124" s="24" t="str">
        <f>IFERROR(IF(ISBLANK(F124),"",baoliuxiaoshuwei(F124*J124,3)),"")</f>
        <v/>
      </c>
      <c r="L124" s="25"/>
      <c r="M124" s="26" t="str">
        <f>IFERROR(IF(ISBLANK(L124),"",baoliuxiaoshuwei((L124*10/100)*C124,2)),"")</f>
        <v/>
      </c>
    </row>
    <row r="125" ht="20.25" customHeight="1" spans="1:13">
      <c r="A125" s="15"/>
      <c r="B125" s="15"/>
      <c r="C125" s="16"/>
      <c r="D125" s="4" t="s">
        <v>53</v>
      </c>
      <c r="K125" s="24" t="str">
        <f>IFERROR(IF(ISBLANK(F125),"",baoliuxiaoshuwei(F125*J125,3)),"")</f>
        <v/>
      </c>
      <c r="L125" s="27"/>
      <c r="M125" s="28"/>
    </row>
    <row r="126" ht="20.25" customHeight="1" spans="1:13">
      <c r="A126" s="18"/>
      <c r="B126" s="18"/>
      <c r="C126" s="19"/>
      <c r="D126" s="4" t="s">
        <v>54</v>
      </c>
      <c r="K126" s="24" t="str">
        <f>IFERROR(IF(ISBLANK(F126),"",baoliuxiaoshuwei(F126*J126,3)),"")</f>
        <v/>
      </c>
      <c r="L126" s="29"/>
      <c r="M126" s="30"/>
    </row>
    <row r="127" ht="20.25" customHeight="1" spans="1:13">
      <c r="A127" s="13"/>
      <c r="B127" s="13"/>
      <c r="C127" s="14"/>
      <c r="D127" s="4" t="s">
        <v>52</v>
      </c>
      <c r="K127" s="24" t="str">
        <f>IFERROR(IF(ISBLANK(F127),"",baoliuxiaoshuwei(F127*J127,3)),"")</f>
        <v/>
      </c>
      <c r="L127" s="25"/>
      <c r="M127" s="26" t="str">
        <f>IFERROR(IF(ISBLANK(L127),"",baoliuxiaoshuwei((L127*10/100)*C127,2)),"")</f>
        <v/>
      </c>
    </row>
    <row r="128" ht="20.25" customHeight="1" spans="1:13">
      <c r="A128" s="15"/>
      <c r="B128" s="15"/>
      <c r="C128" s="16"/>
      <c r="D128" s="4" t="s">
        <v>53</v>
      </c>
      <c r="K128" s="24" t="str">
        <f>IFERROR(IF(ISBLANK(F128),"",baoliuxiaoshuwei(F128*J128,3)),"")</f>
        <v/>
      </c>
      <c r="L128" s="27"/>
      <c r="M128" s="28"/>
    </row>
    <row r="129" ht="20.25" customHeight="1" spans="1:13">
      <c r="A129" s="18"/>
      <c r="B129" s="18"/>
      <c r="C129" s="19"/>
      <c r="D129" s="4" t="s">
        <v>54</v>
      </c>
      <c r="K129" s="24" t="str">
        <f>IFERROR(IF(ISBLANK(F129),"",baoliuxiaoshuwei(F129*J129,3)),"")</f>
        <v/>
      </c>
      <c r="L129" s="29"/>
      <c r="M129" s="30"/>
    </row>
    <row r="130" ht="20.25" customHeight="1" spans="1:13">
      <c r="A130" s="13"/>
      <c r="B130" s="13"/>
      <c r="C130" s="14"/>
      <c r="D130" s="4" t="s">
        <v>52</v>
      </c>
      <c r="K130" s="24" t="str">
        <f>IFERROR(IF(ISBLANK(F130),"",baoliuxiaoshuwei(F130*J130,3)),"")</f>
        <v/>
      </c>
      <c r="L130" s="25"/>
      <c r="M130" s="26" t="str">
        <f>IFERROR(IF(ISBLANK(L130),"",baoliuxiaoshuwei((L130*10/100)*C130,2)),"")</f>
        <v/>
      </c>
    </row>
    <row r="131" ht="20.25" customHeight="1" spans="1:13">
      <c r="A131" s="15"/>
      <c r="B131" s="15"/>
      <c r="C131" s="16"/>
      <c r="D131" s="4" t="s">
        <v>53</v>
      </c>
      <c r="K131" s="24" t="str">
        <f>IFERROR(IF(ISBLANK(F131),"",baoliuxiaoshuwei(F131*J131,3)),"")</f>
        <v/>
      </c>
      <c r="L131" s="27"/>
      <c r="M131" s="28"/>
    </row>
    <row r="132" ht="20.25" customHeight="1" spans="1:13">
      <c r="A132" s="18"/>
      <c r="B132" s="18"/>
      <c r="C132" s="19"/>
      <c r="D132" s="4" t="s">
        <v>54</v>
      </c>
      <c r="K132" s="24" t="str">
        <f>IFERROR(IF(ISBLANK(F132),"",baoliuxiaoshuwei(F132*J132,3)),"")</f>
        <v/>
      </c>
      <c r="L132" s="29"/>
      <c r="M132" s="30"/>
    </row>
    <row r="133" ht="20.25" customHeight="1" spans="1:13">
      <c r="A133" s="13"/>
      <c r="B133" s="13"/>
      <c r="C133" s="14"/>
      <c r="D133" s="4" t="s">
        <v>52</v>
      </c>
      <c r="K133" s="24" t="str">
        <f>IFERROR(IF(ISBLANK(F133),"",baoliuxiaoshuwei(F133*J133,3)),"")</f>
        <v/>
      </c>
      <c r="L133" s="25"/>
      <c r="M133" s="26" t="str">
        <f>IFERROR(IF(ISBLANK(L133),"",baoliuxiaoshuwei((L133*10/100)*C133,2)),"")</f>
        <v/>
      </c>
    </row>
    <row r="134" ht="20.25" customHeight="1" spans="1:13">
      <c r="A134" s="15"/>
      <c r="B134" s="15"/>
      <c r="C134" s="16"/>
      <c r="D134" s="4" t="s">
        <v>53</v>
      </c>
      <c r="K134" s="24" t="str">
        <f>IFERROR(IF(ISBLANK(F134),"",baoliuxiaoshuwei(F134*J134,3)),"")</f>
        <v/>
      </c>
      <c r="L134" s="27"/>
      <c r="M134" s="28"/>
    </row>
    <row r="135" ht="20.25" customHeight="1" spans="1:13">
      <c r="A135" s="18"/>
      <c r="B135" s="18"/>
      <c r="C135" s="19"/>
      <c r="D135" s="4" t="s">
        <v>54</v>
      </c>
      <c r="K135" s="24" t="str">
        <f>IFERROR(IF(ISBLANK(F135),"",baoliuxiaoshuwei(F135*J135,3)),"")</f>
        <v/>
      </c>
      <c r="L135" s="29"/>
      <c r="M135" s="30"/>
    </row>
    <row r="136" ht="20.25" customHeight="1" spans="1:13">
      <c r="A136" s="13"/>
      <c r="B136" s="13"/>
      <c r="C136" s="14"/>
      <c r="D136" s="4" t="s">
        <v>52</v>
      </c>
      <c r="K136" s="24" t="str">
        <f>IFERROR(IF(ISBLANK(F136),"",baoliuxiaoshuwei(F136*J136,3)),"")</f>
        <v/>
      </c>
      <c r="L136" s="25"/>
      <c r="M136" s="26" t="str">
        <f>IFERROR(IF(ISBLANK(L136),"",baoliuxiaoshuwei((L136*10/100)*C136,2)),"")</f>
        <v/>
      </c>
    </row>
    <row r="137" ht="20.25" customHeight="1" spans="1:13">
      <c r="A137" s="15"/>
      <c r="B137" s="15"/>
      <c r="C137" s="16"/>
      <c r="D137" s="4" t="s">
        <v>53</v>
      </c>
      <c r="K137" s="24" t="str">
        <f>IFERROR(IF(ISBLANK(F137),"",baoliuxiaoshuwei(F137*J137,3)),"")</f>
        <v/>
      </c>
      <c r="L137" s="27"/>
      <c r="M137" s="28"/>
    </row>
    <row r="138" ht="20.25" customHeight="1" spans="1:13">
      <c r="A138" s="18"/>
      <c r="B138" s="18"/>
      <c r="C138" s="19"/>
      <c r="D138" s="4" t="s">
        <v>54</v>
      </c>
      <c r="K138" s="24" t="str">
        <f>IFERROR(IF(ISBLANK(F138),"",baoliuxiaoshuwei(F138*J138,3)),"")</f>
        <v/>
      </c>
      <c r="L138" s="29"/>
      <c r="M138" s="30"/>
    </row>
    <row r="139" ht="20.25" customHeight="1" spans="1:13">
      <c r="A139" s="13"/>
      <c r="B139" s="13"/>
      <c r="C139" s="14"/>
      <c r="D139" s="4" t="s">
        <v>52</v>
      </c>
      <c r="K139" s="24" t="str">
        <f>IFERROR(IF(ISBLANK(F139),"",baoliuxiaoshuwei(F139*J139,3)),"")</f>
        <v/>
      </c>
      <c r="L139" s="25"/>
      <c r="M139" s="26" t="str">
        <f>IFERROR(IF(ISBLANK(L139),"",baoliuxiaoshuwei((L139*10/100)*C139,2)),"")</f>
        <v/>
      </c>
    </row>
    <row r="140" ht="20.25" customHeight="1" spans="1:13">
      <c r="A140" s="15"/>
      <c r="B140" s="15"/>
      <c r="C140" s="16"/>
      <c r="D140" s="4" t="s">
        <v>53</v>
      </c>
      <c r="K140" s="24" t="str">
        <f>IFERROR(IF(ISBLANK(F140),"",baoliuxiaoshuwei(F140*J140,3)),"")</f>
        <v/>
      </c>
      <c r="L140" s="27"/>
      <c r="M140" s="28"/>
    </row>
    <row r="141" ht="20.25" customHeight="1" spans="1:13">
      <c r="A141" s="18"/>
      <c r="B141" s="18"/>
      <c r="C141" s="19"/>
      <c r="D141" s="4" t="s">
        <v>54</v>
      </c>
      <c r="K141" s="24" t="str">
        <f>IFERROR(IF(ISBLANK(F141),"",baoliuxiaoshuwei(F141*J141,3)),"")</f>
        <v/>
      </c>
      <c r="L141" s="29"/>
      <c r="M141" s="30"/>
    </row>
    <row r="142" ht="20.25" customHeight="1" spans="1:13">
      <c r="A142" s="13"/>
      <c r="B142" s="13"/>
      <c r="C142" s="14"/>
      <c r="K142" s="24" t="str">
        <f>IFERROR(IF(ISBLANK(F142),"",baoliuxiaoshuwei(F142*J142,3)),"")</f>
        <v/>
      </c>
      <c r="L142" s="25"/>
      <c r="M142" s="26" t="str">
        <f>IFERROR(IF(ISBLANK(L142),"",baoliuxiaoshuwei((L142*10/100)*C142,2)),"")</f>
        <v/>
      </c>
    </row>
    <row r="143" ht="20.25" customHeight="1" spans="1:13">
      <c r="A143" s="15"/>
      <c r="B143" s="15"/>
      <c r="C143" s="16"/>
      <c r="K143" s="24" t="str">
        <f>IFERROR(IF(ISBLANK(F143),"",baoliuxiaoshuwei(F143*J143,3)),"")</f>
        <v/>
      </c>
      <c r="L143" s="27"/>
      <c r="M143" s="28"/>
    </row>
    <row r="144" ht="20.25" customHeight="1" spans="1:13">
      <c r="A144" s="18"/>
      <c r="B144" s="18"/>
      <c r="C144" s="19"/>
      <c r="K144" s="24" t="str">
        <f>IFERROR(IF(ISBLANK(F144),"",baoliuxiaoshuwei(F144*J144,3)),"")</f>
        <v/>
      </c>
      <c r="L144" s="29"/>
      <c r="M144" s="30"/>
    </row>
    <row r="145" ht="20.25" customHeight="1" spans="1:13">
      <c r="A145" s="13"/>
      <c r="B145" s="13"/>
      <c r="C145" s="14"/>
      <c r="K145" s="24" t="str">
        <f>IFERROR(IF(ISBLANK(F145),"",baoliuxiaoshuwei(F145*J145,3)),"")</f>
        <v/>
      </c>
      <c r="L145" s="25"/>
      <c r="M145" s="26" t="str">
        <f>IFERROR(IF(ISBLANK(L145),"",baoliuxiaoshuwei((L145*10/100)*C145,2)),"")</f>
        <v/>
      </c>
    </row>
    <row r="146" ht="20.25" customHeight="1" spans="1:13">
      <c r="A146" s="15"/>
      <c r="B146" s="15"/>
      <c r="C146" s="16"/>
      <c r="K146" s="24" t="str">
        <f>IFERROR(IF(ISBLANK(F146),"",baoliuxiaoshuwei(F146*J146,3)),"")</f>
        <v/>
      </c>
      <c r="L146" s="27"/>
      <c r="M146" s="28"/>
    </row>
    <row r="147" ht="20.25" customHeight="1" spans="1:13">
      <c r="A147" s="18"/>
      <c r="B147" s="18"/>
      <c r="C147" s="19"/>
      <c r="K147" s="24" t="str">
        <f>IFERROR(IF(ISBLANK(F147),"",baoliuxiaoshuwei(F147*J147,3)),"")</f>
        <v/>
      </c>
      <c r="L147" s="29"/>
      <c r="M147" s="30"/>
    </row>
    <row r="148" ht="20.25" customHeight="1" spans="1:13">
      <c r="A148" s="13"/>
      <c r="B148" s="13"/>
      <c r="C148" s="14"/>
      <c r="K148" s="24" t="str">
        <f>IFERROR(IF(ISBLANK(F148),"",baoliuxiaoshuwei(F148*J148,3)),"")</f>
        <v/>
      </c>
      <c r="L148" s="25"/>
      <c r="M148" s="26" t="str">
        <f>IFERROR(IF(ISBLANK(L148),"",baoliuxiaoshuwei((L148*10/100)*C148,2)),"")</f>
        <v/>
      </c>
    </row>
    <row r="149" ht="20.25" customHeight="1" spans="1:13">
      <c r="A149" s="15"/>
      <c r="B149" s="15"/>
      <c r="C149" s="16"/>
      <c r="K149" s="24" t="str">
        <f>IFERROR(IF(ISBLANK(F149),"",baoliuxiaoshuwei(F149*J149,3)),"")</f>
        <v/>
      </c>
      <c r="L149" s="27"/>
      <c r="M149" s="28"/>
    </row>
    <row r="150" ht="20.25" customHeight="1" spans="1:13">
      <c r="A150" s="18"/>
      <c r="B150" s="18"/>
      <c r="C150" s="19"/>
      <c r="K150" s="24" t="str">
        <f>IFERROR(IF(ISBLANK(F150),"",baoliuxiaoshuwei(F150*J150,3)),"")</f>
        <v/>
      </c>
      <c r="L150" s="29"/>
      <c r="M150" s="30"/>
    </row>
    <row r="151" ht="20.25" customHeight="1" spans="1:13">
      <c r="A151" s="13"/>
      <c r="B151" s="13"/>
      <c r="C151" s="14"/>
      <c r="K151" s="24" t="str">
        <f>IFERROR(IF(ISBLANK(F151),"",baoliuxiaoshuwei(F151*J151,3)),"")</f>
        <v/>
      </c>
      <c r="L151" s="25"/>
      <c r="M151" s="26" t="str">
        <f>IFERROR(IF(ISBLANK(L151),"",baoliuxiaoshuwei((L151*10/100)*C151,2)),"")</f>
        <v/>
      </c>
    </row>
    <row r="152" ht="20.25" customHeight="1" spans="1:13">
      <c r="A152" s="15"/>
      <c r="B152" s="15"/>
      <c r="C152" s="16"/>
      <c r="K152" s="24" t="str">
        <f>IFERROR(IF(ISBLANK(F152),"",baoliuxiaoshuwei(F152*J152,3)),"")</f>
        <v/>
      </c>
      <c r="L152" s="27"/>
      <c r="M152" s="28"/>
    </row>
    <row r="153" ht="20.25" customHeight="1" spans="1:13">
      <c r="A153" s="18"/>
      <c r="B153" s="18"/>
      <c r="C153" s="19"/>
      <c r="K153" s="24" t="str">
        <f>IFERROR(IF(ISBLANK(F153),"",baoliuxiaoshuwei(F153*J153,3)),"")</f>
        <v/>
      </c>
      <c r="L153" s="29"/>
      <c r="M153" s="30"/>
    </row>
    <row r="154" ht="20.25" customHeight="1" spans="1:13">
      <c r="A154" s="13"/>
      <c r="B154" s="13"/>
      <c r="C154" s="14"/>
      <c r="K154" s="24" t="str">
        <f>IFERROR(IF(ISBLANK(F154),"",baoliuxiaoshuwei(F154*J154,3)),"")</f>
        <v/>
      </c>
      <c r="L154" s="25"/>
      <c r="M154" s="26" t="str">
        <f>IFERROR(IF(ISBLANK(L154),"",baoliuxiaoshuwei((L154*10/100)*C154,2)),"")</f>
        <v/>
      </c>
    </row>
    <row r="155" ht="20.25" customHeight="1" spans="1:13">
      <c r="A155" s="15"/>
      <c r="B155" s="15"/>
      <c r="C155" s="16"/>
      <c r="K155" s="24" t="str">
        <f>IFERROR(IF(ISBLANK(F155),"",baoliuxiaoshuwei(F155*J155,3)),"")</f>
        <v/>
      </c>
      <c r="L155" s="27"/>
      <c r="M155" s="28"/>
    </row>
    <row r="156" ht="20.25" customHeight="1" spans="1:13">
      <c r="A156" s="18"/>
      <c r="B156" s="18"/>
      <c r="C156" s="19"/>
      <c r="K156" s="24" t="str">
        <f>IFERROR(IF(ISBLANK(F156),"",baoliuxiaoshuwei(F156*J156,3)),"")</f>
        <v/>
      </c>
      <c r="L156" s="29"/>
      <c r="M156" s="30"/>
    </row>
    <row r="157" ht="20.25" customHeight="1" spans="1:13">
      <c r="A157" s="13"/>
      <c r="B157" s="13"/>
      <c r="C157" s="14"/>
      <c r="K157" s="24" t="str">
        <f>IFERROR(IF(ISBLANK(F157),"",baoliuxiaoshuwei(F157*J157,3)),"")</f>
        <v/>
      </c>
      <c r="L157" s="25"/>
      <c r="M157" s="26" t="str">
        <f>IFERROR(IF(ISBLANK(L157),"",baoliuxiaoshuwei((L157*10/100)*C157,2)),"")</f>
        <v/>
      </c>
    </row>
    <row r="158" ht="20.25" customHeight="1" spans="1:13">
      <c r="A158" s="15"/>
      <c r="B158" s="15"/>
      <c r="C158" s="16"/>
      <c r="K158" s="24" t="str">
        <f>IFERROR(IF(ISBLANK(F158),"",baoliuxiaoshuwei(F158*J158,3)),"")</f>
        <v/>
      </c>
      <c r="L158" s="27"/>
      <c r="M158" s="28"/>
    </row>
    <row r="159" ht="20.25" customHeight="1" spans="1:13">
      <c r="A159" s="18"/>
      <c r="B159" s="18"/>
      <c r="C159" s="19"/>
      <c r="K159" s="24" t="str">
        <f>IFERROR(IF(ISBLANK(F159),"",baoliuxiaoshuwei(F159*J159,3)),"")</f>
        <v/>
      </c>
      <c r="L159" s="29"/>
      <c r="M159" s="30"/>
    </row>
    <row r="160" ht="20.25" customHeight="1" spans="1:13">
      <c r="A160" s="13"/>
      <c r="B160" s="13"/>
      <c r="C160" s="14"/>
      <c r="K160" s="24" t="str">
        <f>IFERROR(IF(ISBLANK(F160),"",baoliuxiaoshuwei(F160*J160,3)),"")</f>
        <v/>
      </c>
      <c r="L160" s="25"/>
      <c r="M160" s="26" t="str">
        <f>IFERROR(IF(ISBLANK(L160),"",baoliuxiaoshuwei((L160*10/100)*C160,2)),"")</f>
        <v/>
      </c>
    </row>
    <row r="161" ht="20.25" customHeight="1" spans="1:13">
      <c r="A161" s="15"/>
      <c r="B161" s="15"/>
      <c r="C161" s="16"/>
      <c r="K161" s="24" t="str">
        <f>IFERROR(IF(ISBLANK(F161),"",baoliuxiaoshuwei(F161*J161,3)),"")</f>
        <v/>
      </c>
      <c r="L161" s="27"/>
      <c r="M161" s="28"/>
    </row>
    <row r="162" ht="20.25" customHeight="1" spans="1:13">
      <c r="A162" s="18"/>
      <c r="B162" s="18"/>
      <c r="C162" s="19"/>
      <c r="K162" s="24" t="str">
        <f>IFERROR(IF(ISBLANK(F162),"",baoliuxiaoshuwei(F162*J162,3)),"")</f>
        <v/>
      </c>
      <c r="L162" s="29"/>
      <c r="M162" s="30"/>
    </row>
    <row r="163" ht="20.25" customHeight="1" spans="1:13">
      <c r="A163" s="13"/>
      <c r="B163" s="13"/>
      <c r="C163" s="14"/>
      <c r="K163" s="24" t="str">
        <f>IFERROR(IF(ISBLANK(F163),"",baoliuxiaoshuwei(F163*J163,3)),"")</f>
        <v/>
      </c>
      <c r="L163" s="25"/>
      <c r="M163" s="26" t="str">
        <f>IFERROR(IF(ISBLANK(L163),"",baoliuxiaoshuwei((L163*10/100)*C163,2)),"")</f>
        <v/>
      </c>
    </row>
    <row r="164" ht="20.25" customHeight="1" spans="1:13">
      <c r="A164" s="15"/>
      <c r="B164" s="15"/>
      <c r="C164" s="16"/>
      <c r="K164" s="24" t="str">
        <f>IFERROR(IF(ISBLANK(F164),"",baoliuxiaoshuwei(F164*J164,3)),"")</f>
        <v/>
      </c>
      <c r="L164" s="27"/>
      <c r="M164" s="28"/>
    </row>
    <row r="165" ht="20.25" customHeight="1" spans="1:13">
      <c r="A165" s="18"/>
      <c r="B165" s="18"/>
      <c r="C165" s="19"/>
      <c r="K165" s="24" t="str">
        <f>IFERROR(IF(ISBLANK(F165),"",baoliuxiaoshuwei(F165*J165,3)),"")</f>
        <v/>
      </c>
      <c r="L165" s="29"/>
      <c r="M165" s="30"/>
    </row>
    <row r="166" ht="20.25" customHeight="1" spans="1:13">
      <c r="A166" s="13"/>
      <c r="B166" s="13"/>
      <c r="C166" s="14"/>
      <c r="K166" s="24" t="str">
        <f>IFERROR(IF(ISBLANK(F166),"",baoliuxiaoshuwei(F166*J166,3)),"")</f>
        <v/>
      </c>
      <c r="L166" s="25"/>
      <c r="M166" s="26" t="str">
        <f>IFERROR(IF(ISBLANK(L166),"",baoliuxiaoshuwei((L166*10/100)*C166,2)),"")</f>
        <v/>
      </c>
    </row>
    <row r="167" ht="20.25" customHeight="1" spans="1:13">
      <c r="A167" s="15"/>
      <c r="B167" s="15"/>
      <c r="C167" s="16"/>
      <c r="K167" s="24" t="str">
        <f>IFERROR(IF(ISBLANK(F167),"",baoliuxiaoshuwei(F167*J167,3)),"")</f>
        <v/>
      </c>
      <c r="L167" s="27"/>
      <c r="M167" s="28"/>
    </row>
    <row r="168" ht="20.25" customHeight="1" spans="1:13">
      <c r="A168" s="18"/>
      <c r="B168" s="18"/>
      <c r="C168" s="19"/>
      <c r="K168" s="24" t="str">
        <f>IFERROR(IF(ISBLANK(F168),"",baoliuxiaoshuwei(F168*J168,3)),"")</f>
        <v/>
      </c>
      <c r="L168" s="29"/>
      <c r="M168" s="30"/>
    </row>
    <row r="169" ht="20.25" customHeight="1" spans="1:13">
      <c r="A169" s="13"/>
      <c r="B169" s="13"/>
      <c r="C169" s="14"/>
      <c r="K169" s="24" t="str">
        <f>IFERROR(IF(ISBLANK(F169),"",baoliuxiaoshuwei(F169*J169,3)),"")</f>
        <v/>
      </c>
      <c r="L169" s="25"/>
      <c r="M169" s="26" t="str">
        <f>IFERROR(IF(ISBLANK(L169),"",baoliuxiaoshuwei((L169*10/100)*C169,2)),"")</f>
        <v/>
      </c>
    </row>
    <row r="170" ht="20.25" customHeight="1" spans="1:13">
      <c r="A170" s="15"/>
      <c r="B170" s="15"/>
      <c r="C170" s="16"/>
      <c r="K170" s="24" t="str">
        <f>IFERROR(IF(ISBLANK(F170),"",baoliuxiaoshuwei(F170*J170,3)),"")</f>
        <v/>
      </c>
      <c r="L170" s="27"/>
      <c r="M170" s="28"/>
    </row>
    <row r="171" ht="20.25" customHeight="1" spans="1:13">
      <c r="A171" s="18"/>
      <c r="B171" s="18"/>
      <c r="C171" s="19"/>
      <c r="K171" s="24" t="str">
        <f>IFERROR(IF(ISBLANK(F171),"",baoliuxiaoshuwei(F171*J171,3)),"")</f>
        <v/>
      </c>
      <c r="L171" s="29"/>
      <c r="M171" s="30"/>
    </row>
    <row r="172" ht="20.25" customHeight="1" spans="1:13">
      <c r="A172" s="13"/>
      <c r="B172" s="13"/>
      <c r="C172" s="14"/>
      <c r="K172" s="24" t="str">
        <f>IFERROR(IF(ISBLANK(F172),"",baoliuxiaoshuwei(F172*J172,3)),"")</f>
        <v/>
      </c>
      <c r="L172" s="25"/>
      <c r="M172" s="26" t="str">
        <f>IFERROR(IF(ISBLANK(L172),"",baoliuxiaoshuwei((L172*10/100)*C172,2)),"")</f>
        <v/>
      </c>
    </row>
    <row r="173" ht="20.25" customHeight="1" spans="1:13">
      <c r="A173" s="15"/>
      <c r="B173" s="15"/>
      <c r="C173" s="16"/>
      <c r="K173" s="24" t="str">
        <f>IFERROR(IF(ISBLANK(F173),"",baoliuxiaoshuwei(F173*J173,3)),"")</f>
        <v/>
      </c>
      <c r="L173" s="27"/>
      <c r="M173" s="28"/>
    </row>
    <row r="174" ht="20.25" customHeight="1" spans="1:13">
      <c r="A174" s="18"/>
      <c r="B174" s="18"/>
      <c r="C174" s="19"/>
      <c r="K174" s="24" t="str">
        <f>IFERROR(IF(ISBLANK(F174),"",baoliuxiaoshuwei(F174*J174,3)),"")</f>
        <v/>
      </c>
      <c r="L174" s="29"/>
      <c r="M174" s="30"/>
    </row>
    <row r="175" ht="20.25" customHeight="1" spans="1:13">
      <c r="A175" s="13"/>
      <c r="B175" s="13"/>
      <c r="C175" s="14"/>
      <c r="K175" s="24" t="str">
        <f>IFERROR(IF(ISBLANK(F175),"",baoliuxiaoshuwei(F175*J175,3)),"")</f>
        <v/>
      </c>
      <c r="L175" s="25"/>
      <c r="M175" s="26" t="str">
        <f>IFERROR(IF(ISBLANK(L175),"",baoliuxiaoshuwei((L175*10/100)*C175,2)),"")</f>
        <v/>
      </c>
    </row>
    <row r="176" ht="20.25" customHeight="1" spans="1:13">
      <c r="A176" s="15"/>
      <c r="B176" s="15"/>
      <c r="C176" s="16"/>
      <c r="K176" s="24" t="str">
        <f>IFERROR(IF(ISBLANK(F176),"",baoliuxiaoshuwei(F176*J176,3)),"")</f>
        <v/>
      </c>
      <c r="L176" s="27"/>
      <c r="M176" s="28"/>
    </row>
    <row r="177" ht="20.25" customHeight="1" spans="1:13">
      <c r="A177" s="18"/>
      <c r="B177" s="18"/>
      <c r="C177" s="19"/>
      <c r="K177" s="24" t="str">
        <f>IFERROR(IF(ISBLANK(F177),"",baoliuxiaoshuwei(F177*J177,3)),"")</f>
        <v/>
      </c>
      <c r="L177" s="29"/>
      <c r="M177" s="30"/>
    </row>
    <row r="178" ht="20.25" customHeight="1" spans="1:13">
      <c r="A178" s="13"/>
      <c r="B178" s="13"/>
      <c r="C178" s="14"/>
      <c r="K178" s="24" t="str">
        <f>IFERROR(IF(ISBLANK(F178),"",baoliuxiaoshuwei(F178*J178,3)),"")</f>
        <v/>
      </c>
      <c r="L178" s="25"/>
      <c r="M178" s="26" t="str">
        <f>IFERROR(IF(ISBLANK(L178),"",baoliuxiaoshuwei((L178*10/100)*C178,2)),"")</f>
        <v/>
      </c>
    </row>
    <row r="179" ht="20.25" customHeight="1" spans="1:13">
      <c r="A179" s="15"/>
      <c r="B179" s="15"/>
      <c r="C179" s="16"/>
      <c r="K179" s="24" t="str">
        <f>IFERROR(IF(ISBLANK(F179),"",baoliuxiaoshuwei(F179*J179,3)),"")</f>
        <v/>
      </c>
      <c r="L179" s="27"/>
      <c r="M179" s="28"/>
    </row>
    <row r="180" ht="20.25" customHeight="1" spans="1:13">
      <c r="A180" s="18"/>
      <c r="B180" s="18"/>
      <c r="C180" s="19"/>
      <c r="K180" s="24" t="str">
        <f>IFERROR(IF(ISBLANK(F180),"",baoliuxiaoshuwei(F180*J180,3)),"")</f>
        <v/>
      </c>
      <c r="L180" s="29"/>
      <c r="M180" s="30"/>
    </row>
    <row r="181" ht="20.25" customHeight="1" spans="1:13">
      <c r="A181" s="13"/>
      <c r="B181" s="13"/>
      <c r="C181" s="14"/>
      <c r="K181" s="24" t="str">
        <f>IFERROR(IF(ISBLANK(F181),"",baoliuxiaoshuwei(F181*J181,3)),"")</f>
        <v/>
      </c>
      <c r="L181" s="25"/>
      <c r="M181" s="26" t="str">
        <f>IFERROR(IF(ISBLANK(L181),"",baoliuxiaoshuwei((L181*10/100)*C181,2)),"")</f>
        <v/>
      </c>
    </row>
    <row r="182" ht="20.25" customHeight="1" spans="1:13">
      <c r="A182" s="15"/>
      <c r="B182" s="15"/>
      <c r="C182" s="16"/>
      <c r="K182" s="24" t="str">
        <f>IFERROR(IF(ISBLANK(F182),"",baoliuxiaoshuwei(F182*J182,3)),"")</f>
        <v/>
      </c>
      <c r="L182" s="27"/>
      <c r="M182" s="28"/>
    </row>
    <row r="183" ht="20.25" customHeight="1" spans="1:13">
      <c r="A183" s="18"/>
      <c r="B183" s="18"/>
      <c r="C183" s="19"/>
      <c r="K183" s="24" t="str">
        <f>IFERROR(IF(ISBLANK(F183),"",baoliuxiaoshuwei(F183*J183,3)),"")</f>
        <v/>
      </c>
      <c r="L183" s="29"/>
      <c r="M183" s="30"/>
    </row>
    <row r="184" ht="20.25" customHeight="1" spans="1:13">
      <c r="A184" s="13"/>
      <c r="B184" s="13"/>
      <c r="C184" s="14"/>
      <c r="K184" s="24" t="str">
        <f>IFERROR(IF(ISBLANK(F184),"",baoliuxiaoshuwei(F184*J184,3)),"")</f>
        <v/>
      </c>
      <c r="L184" s="25"/>
      <c r="M184" s="26" t="str">
        <f>IFERROR(IF(ISBLANK(L184),"",baoliuxiaoshuwei((L184*10/100)*C184,2)),"")</f>
        <v/>
      </c>
    </row>
    <row r="185" ht="20.25" customHeight="1" spans="1:13">
      <c r="A185" s="15"/>
      <c r="B185" s="15"/>
      <c r="C185" s="16"/>
      <c r="K185" s="24" t="str">
        <f>IFERROR(IF(ISBLANK(F185),"",baoliuxiaoshuwei(F185*J185,3)),"")</f>
        <v/>
      </c>
      <c r="L185" s="27"/>
      <c r="M185" s="28"/>
    </row>
    <row r="186" ht="20.25" customHeight="1" spans="1:13">
      <c r="A186" s="18"/>
      <c r="B186" s="18"/>
      <c r="C186" s="19"/>
      <c r="K186" s="24" t="str">
        <f>IFERROR(IF(ISBLANK(F186),"",baoliuxiaoshuwei(F186*J186,3)),"")</f>
        <v/>
      </c>
      <c r="L186" s="29"/>
      <c r="M186" s="30"/>
    </row>
    <row r="187" ht="20.25" customHeight="1" spans="1:13">
      <c r="A187" s="13"/>
      <c r="B187" s="13"/>
      <c r="C187" s="14"/>
      <c r="K187" s="24" t="str">
        <f>IFERROR(IF(ISBLANK(F187),"",baoliuxiaoshuwei(F187*J187,3)),"")</f>
        <v/>
      </c>
      <c r="L187" s="25"/>
      <c r="M187" s="26" t="str">
        <f>IFERROR(IF(ISBLANK(L187),"",baoliuxiaoshuwei((L187*10/100)*C187,2)),"")</f>
        <v/>
      </c>
    </row>
    <row r="188" ht="20.25" customHeight="1" spans="1:13">
      <c r="A188" s="15"/>
      <c r="B188" s="15"/>
      <c r="C188" s="16"/>
      <c r="K188" s="24" t="str">
        <f>IFERROR(IF(ISBLANK(F188),"",baoliuxiaoshuwei(F188*J188,3)),"")</f>
        <v/>
      </c>
      <c r="L188" s="27"/>
      <c r="M188" s="28"/>
    </row>
    <row r="189" ht="20.25" customHeight="1" spans="1:13">
      <c r="A189" s="18"/>
      <c r="B189" s="18"/>
      <c r="C189" s="19"/>
      <c r="K189" s="24" t="str">
        <f>IFERROR(IF(ISBLANK(F189),"",baoliuxiaoshuwei(F189*J189,3)),"")</f>
        <v/>
      </c>
      <c r="L189" s="29"/>
      <c r="M189" s="30"/>
    </row>
    <row r="190" ht="20.25" customHeight="1" spans="1:13">
      <c r="A190" s="13"/>
      <c r="B190" s="13"/>
      <c r="C190" s="14"/>
      <c r="K190" s="24" t="str">
        <f>IFERROR(IF(ISBLANK(F190),"",baoliuxiaoshuwei(F190*J190,3)),"")</f>
        <v/>
      </c>
      <c r="L190" s="25"/>
      <c r="M190" s="26" t="str">
        <f>IFERROR(IF(ISBLANK(L190),"",baoliuxiaoshuwei((L190*10/100)*C190,2)),"")</f>
        <v/>
      </c>
    </row>
    <row r="191" ht="20.25" customHeight="1" spans="1:13">
      <c r="A191" s="15"/>
      <c r="B191" s="15"/>
      <c r="C191" s="16"/>
      <c r="K191" s="24" t="str">
        <f>IFERROR(IF(ISBLANK(F191),"",baoliuxiaoshuwei(F191*J191,3)),"")</f>
        <v/>
      </c>
      <c r="L191" s="27"/>
      <c r="M191" s="28"/>
    </row>
    <row r="192" ht="20.25" customHeight="1" spans="1:13">
      <c r="A192" s="18"/>
      <c r="B192" s="18"/>
      <c r="C192" s="19"/>
      <c r="K192" s="24" t="str">
        <f>IFERROR(IF(ISBLANK(F192),"",baoliuxiaoshuwei(F192*J192,3)),"")</f>
        <v/>
      </c>
      <c r="L192" s="29"/>
      <c r="M192" s="30"/>
    </row>
    <row r="193" ht="20.25" customHeight="1" spans="1:13">
      <c r="A193" s="13"/>
      <c r="B193" s="13"/>
      <c r="C193" s="14"/>
      <c r="K193" s="24" t="str">
        <f>IFERROR(IF(ISBLANK(F193),"",baoliuxiaoshuwei(F193*J193,3)),"")</f>
        <v/>
      </c>
      <c r="L193" s="25"/>
      <c r="M193" s="26" t="str">
        <f>IFERROR(IF(ISBLANK(L193),"",baoliuxiaoshuwei((L193*10/100)*C193,2)),"")</f>
        <v/>
      </c>
    </row>
    <row r="194" ht="20.25" customHeight="1" spans="1:13">
      <c r="A194" s="15"/>
      <c r="B194" s="15"/>
      <c r="C194" s="16"/>
      <c r="K194" s="24" t="str">
        <f>IFERROR(IF(ISBLANK(F194),"",baoliuxiaoshuwei(F194*J194,3)),"")</f>
        <v/>
      </c>
      <c r="L194" s="27"/>
      <c r="M194" s="28"/>
    </row>
    <row r="195" ht="20.25" customHeight="1" spans="1:13">
      <c r="A195" s="18"/>
      <c r="B195" s="18"/>
      <c r="C195" s="19"/>
      <c r="K195" s="24" t="str">
        <f>IFERROR(IF(ISBLANK(F195),"",baoliuxiaoshuwei(F195*J195,3)),"")</f>
        <v/>
      </c>
      <c r="L195" s="29"/>
      <c r="M195" s="30"/>
    </row>
    <row r="196" ht="20.25" customHeight="1" spans="1:13">
      <c r="A196" s="13"/>
      <c r="B196" s="13"/>
      <c r="C196" s="14"/>
      <c r="K196" s="24" t="str">
        <f>IFERROR(IF(ISBLANK(F196),"",baoliuxiaoshuwei(F196*J196,3)),"")</f>
        <v/>
      </c>
      <c r="L196" s="25"/>
      <c r="M196" s="26" t="str">
        <f>IFERROR(IF(ISBLANK(L196),"",baoliuxiaoshuwei((L196*10/100)*C196,2)),"")</f>
        <v/>
      </c>
    </row>
    <row r="197" ht="20.25" customHeight="1" spans="1:13">
      <c r="A197" s="15"/>
      <c r="B197" s="15"/>
      <c r="C197" s="16"/>
      <c r="K197" s="24" t="str">
        <f>IFERROR(IF(ISBLANK(F197),"",baoliuxiaoshuwei(F197*J197,3)),"")</f>
        <v/>
      </c>
      <c r="L197" s="27"/>
      <c r="M197" s="28"/>
    </row>
    <row r="198" ht="20.25" customHeight="1" spans="1:13">
      <c r="A198" s="18"/>
      <c r="B198" s="18"/>
      <c r="C198" s="19"/>
      <c r="K198" s="24" t="str">
        <f>IFERROR(IF(ISBLANK(F198),"",baoliuxiaoshuwei(F198*J198,3)),"")</f>
        <v/>
      </c>
      <c r="L198" s="29"/>
      <c r="M198" s="30"/>
    </row>
    <row r="199" ht="20.25" customHeight="1" spans="1:13">
      <c r="A199" s="13"/>
      <c r="B199" s="13"/>
      <c r="C199" s="14"/>
      <c r="K199" s="24" t="str">
        <f>IFERROR(IF(ISBLANK(F199),"",baoliuxiaoshuwei(F199*J199,3)),"")</f>
        <v/>
      </c>
      <c r="L199" s="25"/>
      <c r="M199" s="26" t="str">
        <f>IFERROR(IF(ISBLANK(L199),"",baoliuxiaoshuwei((L199*10/100)*C199,2)),"")</f>
        <v/>
      </c>
    </row>
    <row r="200" ht="20.25" customHeight="1" spans="1:13">
      <c r="A200" s="15"/>
      <c r="B200" s="15"/>
      <c r="C200" s="16"/>
      <c r="K200" s="24" t="str">
        <f>IFERROR(IF(ISBLANK(F200),"",baoliuxiaoshuwei(F200*J200,3)),"")</f>
        <v/>
      </c>
      <c r="L200" s="27"/>
      <c r="M200" s="28"/>
    </row>
    <row r="201" ht="20.25" customHeight="1" spans="1:13">
      <c r="A201" s="18"/>
      <c r="B201" s="18"/>
      <c r="C201" s="19"/>
      <c r="K201" s="24" t="str">
        <f>IFERROR(IF(ISBLANK(F201),"",baoliuxiaoshuwei(F201*J201,3)),"")</f>
        <v/>
      </c>
      <c r="L201" s="29"/>
      <c r="M201" s="30"/>
    </row>
    <row r="202" ht="20.25" customHeight="1" spans="1:13">
      <c r="A202" s="13"/>
      <c r="B202" s="13"/>
      <c r="C202" s="14"/>
      <c r="K202" s="24" t="str">
        <f>IFERROR(IF(ISBLANK(F202),"",baoliuxiaoshuwei(F202*J202,3)),"")</f>
        <v/>
      </c>
      <c r="L202" s="25"/>
      <c r="M202" s="26" t="str">
        <f>IFERROR(IF(ISBLANK(L202),"",baoliuxiaoshuwei((L202*10/100)*C202,2)),"")</f>
        <v/>
      </c>
    </row>
    <row r="203" ht="20.25" customHeight="1" spans="1:13">
      <c r="A203" s="15"/>
      <c r="B203" s="15"/>
      <c r="C203" s="16"/>
      <c r="K203" s="24" t="str">
        <f>IFERROR(IF(ISBLANK(F203),"",baoliuxiaoshuwei(F203*J203,3)),"")</f>
        <v/>
      </c>
      <c r="L203" s="27"/>
      <c r="M203" s="28"/>
    </row>
    <row r="204" ht="20.25" customHeight="1" spans="1:13">
      <c r="A204" s="18"/>
      <c r="B204" s="18"/>
      <c r="C204" s="19"/>
      <c r="K204" s="24" t="str">
        <f>IFERROR(IF(ISBLANK(F204),"",baoliuxiaoshuwei(F204*J204,3)),"")</f>
        <v/>
      </c>
      <c r="L204" s="29"/>
      <c r="M204" s="30"/>
    </row>
    <row r="205" ht="20.25" customHeight="1" spans="1:13">
      <c r="A205" s="13"/>
      <c r="B205" s="13"/>
      <c r="C205" s="14"/>
      <c r="K205" s="24" t="str">
        <f>IFERROR(IF(ISBLANK(F205),"",baoliuxiaoshuwei(F205*J205,3)),"")</f>
        <v/>
      </c>
      <c r="L205" s="25"/>
      <c r="M205" s="26" t="str">
        <f>IFERROR(IF(ISBLANK(L205),"",baoliuxiaoshuwei((L205*10/100)*C205,2)),"")</f>
        <v/>
      </c>
    </row>
    <row r="206" ht="20.25" customHeight="1" spans="1:13">
      <c r="A206" s="15"/>
      <c r="B206" s="15"/>
      <c r="C206" s="16"/>
      <c r="K206" s="24" t="str">
        <f>IFERROR(IF(ISBLANK(F206),"",baoliuxiaoshuwei(F206*J206,3)),"")</f>
        <v/>
      </c>
      <c r="L206" s="27"/>
      <c r="M206" s="28"/>
    </row>
    <row r="207" ht="20.25" customHeight="1" spans="1:13">
      <c r="A207" s="18"/>
      <c r="B207" s="18"/>
      <c r="C207" s="19"/>
      <c r="K207" s="24" t="str">
        <f>IFERROR(IF(ISBLANK(F207),"",baoliuxiaoshuwei(F207*J207,3)),"")</f>
        <v/>
      </c>
      <c r="L207" s="29"/>
      <c r="M207" s="30"/>
    </row>
    <row r="208" ht="20.25" customHeight="1" spans="1:13">
      <c r="A208" s="13"/>
      <c r="B208" s="13"/>
      <c r="C208" s="14"/>
      <c r="K208" s="24" t="str">
        <f>IFERROR(IF(ISBLANK(F208),"",baoliuxiaoshuwei(F208*J208,3)),"")</f>
        <v/>
      </c>
      <c r="L208" s="25"/>
      <c r="M208" s="26" t="str">
        <f>IFERROR(IF(ISBLANK(L208),"",baoliuxiaoshuwei((L208*10/100)*C208,2)),"")</f>
        <v/>
      </c>
    </row>
    <row r="209" ht="20.25" customHeight="1" spans="1:13">
      <c r="A209" s="15"/>
      <c r="B209" s="15"/>
      <c r="C209" s="16"/>
      <c r="K209" s="24" t="str">
        <f>IFERROR(IF(ISBLANK(F209),"",baoliuxiaoshuwei(F209*J209,3)),"")</f>
        <v/>
      </c>
      <c r="L209" s="27"/>
      <c r="M209" s="28"/>
    </row>
    <row r="210" ht="20.25" customHeight="1" spans="1:13">
      <c r="A210" s="18"/>
      <c r="B210" s="18"/>
      <c r="C210" s="19"/>
      <c r="K210" s="24" t="str">
        <f>IFERROR(IF(ISBLANK(F210),"",baoliuxiaoshuwei(F210*J210,3)),"")</f>
        <v/>
      </c>
      <c r="L210" s="29"/>
      <c r="M210" s="30"/>
    </row>
    <row r="211" ht="20.25" customHeight="1" spans="1:13">
      <c r="A211" s="13"/>
      <c r="B211" s="13"/>
      <c r="C211" s="14"/>
      <c r="K211" s="24" t="str">
        <f>IFERROR(IF(ISBLANK(F211),"",baoliuxiaoshuwei(F211*J211,3)),"")</f>
        <v/>
      </c>
      <c r="L211" s="25"/>
      <c r="M211" s="26" t="str">
        <f>IFERROR(IF(ISBLANK(L211),"",baoliuxiaoshuwei((L211*10/100)*C211,2)),"")</f>
        <v/>
      </c>
    </row>
    <row r="212" ht="20.25" customHeight="1" spans="1:13">
      <c r="A212" s="15"/>
      <c r="B212" s="15"/>
      <c r="C212" s="16"/>
      <c r="K212" s="24" t="str">
        <f>IFERROR(IF(ISBLANK(F212),"",baoliuxiaoshuwei(F212*J212,3)),"")</f>
        <v/>
      </c>
      <c r="L212" s="27"/>
      <c r="M212" s="28"/>
    </row>
    <row r="213" ht="20.25" customHeight="1" spans="1:13">
      <c r="A213" s="18"/>
      <c r="B213" s="18"/>
      <c r="C213" s="19"/>
      <c r="K213" s="24" t="str">
        <f>IFERROR(IF(ISBLANK(F213),"",baoliuxiaoshuwei(F213*J213,3)),"")</f>
        <v/>
      </c>
      <c r="L213" s="29"/>
      <c r="M213" s="30"/>
    </row>
    <row r="214" ht="20.25" customHeight="1" spans="1:13">
      <c r="A214" s="13"/>
      <c r="B214" s="13"/>
      <c r="C214" s="14"/>
      <c r="K214" s="24" t="str">
        <f>IFERROR(IF(ISBLANK(F214),"",baoliuxiaoshuwei(F214*J214,3)),"")</f>
        <v/>
      </c>
      <c r="L214" s="25"/>
      <c r="M214" s="26" t="str">
        <f>IFERROR(IF(ISBLANK(L214),"",baoliuxiaoshuwei((L214*10/100)*C214,2)),"")</f>
        <v/>
      </c>
    </row>
    <row r="215" ht="20.25" customHeight="1" spans="1:13">
      <c r="A215" s="15"/>
      <c r="B215" s="15"/>
      <c r="C215" s="16"/>
      <c r="K215" s="24" t="str">
        <f>IFERROR(IF(ISBLANK(F215),"",baoliuxiaoshuwei(F215*J215,3)),"")</f>
        <v/>
      </c>
      <c r="L215" s="27"/>
      <c r="M215" s="28"/>
    </row>
    <row r="216" ht="20.25" customHeight="1" spans="1:13">
      <c r="A216" s="18"/>
      <c r="B216" s="18"/>
      <c r="C216" s="19"/>
      <c r="K216" s="24" t="str">
        <f>IFERROR(IF(ISBLANK(F216),"",baoliuxiaoshuwei(F216*J216,3)),"")</f>
        <v/>
      </c>
      <c r="L216" s="29"/>
      <c r="M216" s="30"/>
    </row>
    <row r="217" ht="20.25" customHeight="1" spans="1:13">
      <c r="A217" s="13"/>
      <c r="B217" s="13"/>
      <c r="C217" s="14"/>
      <c r="K217" s="24" t="str">
        <f>IFERROR(IF(ISBLANK(F217),"",baoliuxiaoshuwei(F217*J217,3)),"")</f>
        <v/>
      </c>
      <c r="L217" s="25"/>
      <c r="M217" s="26" t="str">
        <f>IFERROR(IF(ISBLANK(L217),"",baoliuxiaoshuwei((L217*10/100)*C217,2)),"")</f>
        <v/>
      </c>
    </row>
    <row r="218" ht="20.25" customHeight="1" spans="1:13">
      <c r="A218" s="15"/>
      <c r="B218" s="15"/>
      <c r="C218" s="16"/>
      <c r="K218" s="24" t="str">
        <f>IFERROR(IF(ISBLANK(F218),"",baoliuxiaoshuwei(F218*J218,3)),"")</f>
        <v/>
      </c>
      <c r="L218" s="27"/>
      <c r="M218" s="28"/>
    </row>
    <row r="219" ht="20.25" customHeight="1" spans="1:13">
      <c r="A219" s="18"/>
      <c r="B219" s="18"/>
      <c r="C219" s="19"/>
      <c r="K219" s="24" t="str">
        <f>IFERROR(IF(ISBLANK(F219),"",baoliuxiaoshuwei(F219*J219,3)),"")</f>
        <v/>
      </c>
      <c r="L219" s="29"/>
      <c r="M219" s="30"/>
    </row>
    <row r="220" ht="20.25" customHeight="1" spans="1:13">
      <c r="A220" s="13"/>
      <c r="B220" s="13"/>
      <c r="C220" s="14"/>
      <c r="K220" s="24" t="str">
        <f>IFERROR(IF(ISBLANK(F220),"",baoliuxiaoshuwei(F220*J220,3)),"")</f>
        <v/>
      </c>
      <c r="L220" s="25"/>
      <c r="M220" s="26" t="str">
        <f>IFERROR(IF(ISBLANK(L220),"",baoliuxiaoshuwei((L220*10/100)*C220,2)),"")</f>
        <v/>
      </c>
    </row>
    <row r="221" ht="20.25" customHeight="1" spans="1:13">
      <c r="A221" s="15"/>
      <c r="B221" s="15"/>
      <c r="C221" s="16"/>
      <c r="K221" s="24" t="str">
        <f>IFERROR(IF(ISBLANK(F221),"",baoliuxiaoshuwei(F221*J221,3)),"")</f>
        <v/>
      </c>
      <c r="L221" s="27"/>
      <c r="M221" s="28"/>
    </row>
    <row r="222" ht="20.25" customHeight="1" spans="1:13">
      <c r="A222" s="18"/>
      <c r="B222" s="18"/>
      <c r="C222" s="19"/>
      <c r="K222" s="24" t="str">
        <f>IFERROR(IF(ISBLANK(F222),"",baoliuxiaoshuwei(F222*J222,3)),"")</f>
        <v/>
      </c>
      <c r="L222" s="29"/>
      <c r="M222" s="30"/>
    </row>
    <row r="223" ht="20.25" customHeight="1" spans="1:13">
      <c r="A223" s="13"/>
      <c r="B223" s="13"/>
      <c r="C223" s="14"/>
      <c r="K223" s="24" t="str">
        <f>IFERROR(IF(ISBLANK(F223),"",baoliuxiaoshuwei(F223*J223,3)),"")</f>
        <v/>
      </c>
      <c r="L223" s="25"/>
      <c r="M223" s="26" t="str">
        <f>IFERROR(IF(ISBLANK(L223),"",baoliuxiaoshuwei((L223*10/100)*C223,2)),"")</f>
        <v/>
      </c>
    </row>
    <row r="224" ht="20.25" customHeight="1" spans="1:13">
      <c r="A224" s="15"/>
      <c r="B224" s="15"/>
      <c r="C224" s="16"/>
      <c r="K224" s="24" t="str">
        <f>IFERROR(IF(ISBLANK(F224),"",baoliuxiaoshuwei(F224*J224,3)),"")</f>
        <v/>
      </c>
      <c r="L224" s="27"/>
      <c r="M224" s="28"/>
    </row>
    <row r="225" ht="20.25" customHeight="1" spans="1:13">
      <c r="A225" s="18"/>
      <c r="B225" s="18"/>
      <c r="C225" s="19"/>
      <c r="K225" s="24" t="str">
        <f>IFERROR(IF(ISBLANK(F225),"",baoliuxiaoshuwei(F225*J225,3)),"")</f>
        <v/>
      </c>
      <c r="L225" s="29"/>
      <c r="M225" s="30"/>
    </row>
    <row r="226" ht="20.25" customHeight="1" spans="1:13">
      <c r="A226" s="13"/>
      <c r="B226" s="13"/>
      <c r="C226" s="14"/>
      <c r="K226" s="24" t="str">
        <f>IFERROR(IF(ISBLANK(F226),"",baoliuxiaoshuwei(F226*J226,3)),"")</f>
        <v/>
      </c>
      <c r="L226" s="25"/>
      <c r="M226" s="26" t="str">
        <f>IFERROR(IF(ISBLANK(L226),"",baoliuxiaoshuwei((L226*10/100)*C226,2)),"")</f>
        <v/>
      </c>
    </row>
    <row r="227" ht="20.25" customHeight="1" spans="1:13">
      <c r="A227" s="15"/>
      <c r="B227" s="15"/>
      <c r="C227" s="16"/>
      <c r="K227" s="24" t="str">
        <f>IFERROR(IF(ISBLANK(F227),"",baoliuxiaoshuwei(F227*J227,3)),"")</f>
        <v/>
      </c>
      <c r="L227" s="27"/>
      <c r="M227" s="28"/>
    </row>
    <row r="228" ht="20.25" customHeight="1" spans="1:13">
      <c r="A228" s="18"/>
      <c r="B228" s="18"/>
      <c r="C228" s="19"/>
      <c r="K228" s="24" t="str">
        <f>IFERROR(IF(ISBLANK(F228),"",baoliuxiaoshuwei(F228*J228,3)),"")</f>
        <v/>
      </c>
      <c r="L228" s="29"/>
      <c r="M228" s="30"/>
    </row>
    <row r="229" ht="20.25" customHeight="1" spans="1:13">
      <c r="A229" s="13"/>
      <c r="B229" s="13"/>
      <c r="C229" s="14"/>
      <c r="K229" s="24" t="str">
        <f>IFERROR(IF(ISBLANK(F229),"",baoliuxiaoshuwei(F229*J229,3)),"")</f>
        <v/>
      </c>
      <c r="L229" s="25"/>
      <c r="M229" s="26" t="str">
        <f>IFERROR(IF(ISBLANK(L229),"",baoliuxiaoshuwei((L229*10/100)*C229,2)),"")</f>
        <v/>
      </c>
    </row>
    <row r="230" ht="20.25" customHeight="1" spans="1:13">
      <c r="A230" s="15"/>
      <c r="B230" s="15"/>
      <c r="C230" s="16"/>
      <c r="K230" s="24" t="str">
        <f>IFERROR(IF(ISBLANK(F230),"",baoliuxiaoshuwei(F230*J230,3)),"")</f>
        <v/>
      </c>
      <c r="L230" s="27"/>
      <c r="M230" s="28"/>
    </row>
    <row r="231" ht="20.25" customHeight="1" spans="1:13">
      <c r="A231" s="18"/>
      <c r="B231" s="18"/>
      <c r="C231" s="19"/>
      <c r="K231" s="24" t="str">
        <f>IFERROR(IF(ISBLANK(F231),"",baoliuxiaoshuwei(F231*J231,3)),"")</f>
        <v/>
      </c>
      <c r="L231" s="29"/>
      <c r="M231" s="30"/>
    </row>
    <row r="232" ht="20.25" customHeight="1" spans="1:13">
      <c r="A232" s="13"/>
      <c r="B232" s="13"/>
      <c r="C232" s="14"/>
      <c r="K232" s="24" t="str">
        <f>IFERROR(IF(ISBLANK(F232),"",baoliuxiaoshuwei(F232*J232,3)),"")</f>
        <v/>
      </c>
      <c r="L232" s="25"/>
      <c r="M232" s="26" t="str">
        <f>IFERROR(IF(ISBLANK(L232),"",baoliuxiaoshuwei((L232*10/100)*C232,2)),"")</f>
        <v/>
      </c>
    </row>
    <row r="233" ht="20.25" customHeight="1" spans="1:13">
      <c r="A233" s="15"/>
      <c r="B233" s="15"/>
      <c r="C233" s="16"/>
      <c r="K233" s="24" t="str">
        <f>IFERROR(IF(ISBLANK(F233),"",baoliuxiaoshuwei(F233*J233,3)),"")</f>
        <v/>
      </c>
      <c r="L233" s="27"/>
      <c r="M233" s="28"/>
    </row>
    <row r="234" ht="20.25" customHeight="1" spans="1:13">
      <c r="A234" s="18"/>
      <c r="B234" s="18"/>
      <c r="C234" s="19"/>
      <c r="K234" s="24" t="str">
        <f>IFERROR(IF(ISBLANK(F234),"",baoliuxiaoshuwei(F234*J234,3)),"")</f>
        <v/>
      </c>
      <c r="L234" s="29"/>
      <c r="M234" s="30"/>
    </row>
    <row r="235" ht="20.25" customHeight="1" spans="1:13">
      <c r="A235" s="13"/>
      <c r="B235" s="13"/>
      <c r="C235" s="14"/>
      <c r="K235" s="24" t="str">
        <f>IFERROR(IF(ISBLANK(F235),"",baoliuxiaoshuwei(F235*J235,3)),"")</f>
        <v/>
      </c>
      <c r="L235" s="25"/>
      <c r="M235" s="26" t="str">
        <f>IFERROR(IF(ISBLANK(L235),"",baoliuxiaoshuwei((L235*10/100)*C235,2)),"")</f>
        <v/>
      </c>
    </row>
    <row r="236" ht="20.25" customHeight="1" spans="1:13">
      <c r="A236" s="15"/>
      <c r="B236" s="15"/>
      <c r="C236" s="16"/>
      <c r="K236" s="24" t="str">
        <f>IFERROR(IF(ISBLANK(F236),"",baoliuxiaoshuwei(F236*J236,3)),"")</f>
        <v/>
      </c>
      <c r="L236" s="27"/>
      <c r="M236" s="28"/>
    </row>
    <row r="237" ht="20.25" customHeight="1" spans="1:13">
      <c r="A237" s="18"/>
      <c r="B237" s="18"/>
      <c r="C237" s="19"/>
      <c r="K237" s="24" t="str">
        <f>IFERROR(IF(ISBLANK(F237),"",baoliuxiaoshuwei(F237*J237,3)),"")</f>
        <v/>
      </c>
      <c r="L237" s="29"/>
      <c r="M237" s="30"/>
    </row>
    <row r="238" ht="20.25" customHeight="1" spans="1:13">
      <c r="A238" s="13"/>
      <c r="B238" s="13"/>
      <c r="C238" s="14"/>
      <c r="K238" s="24" t="str">
        <f>IFERROR(IF(ISBLANK(F238),"",baoliuxiaoshuwei(F238*J238,3)),"")</f>
        <v/>
      </c>
      <c r="L238" s="25"/>
      <c r="M238" s="26" t="str">
        <f>IFERROR(IF(ISBLANK(L238),"",baoliuxiaoshuwei((L238*10/100)*C238,2)),"")</f>
        <v/>
      </c>
    </row>
    <row r="239" ht="20.25" customHeight="1" spans="1:13">
      <c r="A239" s="15"/>
      <c r="B239" s="15"/>
      <c r="C239" s="16"/>
      <c r="K239" s="24" t="str">
        <f>IFERROR(IF(ISBLANK(F239),"",baoliuxiaoshuwei(F239*J239,3)),"")</f>
        <v/>
      </c>
      <c r="L239" s="27"/>
      <c r="M239" s="28"/>
    </row>
    <row r="240" ht="20.25" customHeight="1" spans="1:13">
      <c r="A240" s="18"/>
      <c r="B240" s="18"/>
      <c r="C240" s="19"/>
      <c r="K240" s="24" t="str">
        <f>IFERROR(IF(ISBLANK(F240),"",baoliuxiaoshuwei(F240*J240,3)),"")</f>
        <v/>
      </c>
      <c r="L240" s="29"/>
      <c r="M240" s="30"/>
    </row>
    <row r="241" ht="20.25" customHeight="1" spans="1:13">
      <c r="A241" s="13"/>
      <c r="B241" s="13"/>
      <c r="C241" s="14"/>
      <c r="K241" s="24" t="str">
        <f>IFERROR(IF(ISBLANK(F241),"",baoliuxiaoshuwei(F241*J241,3)),"")</f>
        <v/>
      </c>
      <c r="L241" s="25"/>
      <c r="M241" s="26" t="str">
        <f>IFERROR(IF(ISBLANK(L241),"",baoliuxiaoshuwei((L241*10/100)*C241,2)),"")</f>
        <v/>
      </c>
    </row>
    <row r="242" ht="20.25" customHeight="1" spans="1:13">
      <c r="A242" s="15"/>
      <c r="B242" s="15"/>
      <c r="C242" s="16"/>
      <c r="K242" s="24" t="str">
        <f>IFERROR(IF(ISBLANK(F242),"",baoliuxiaoshuwei(F242*J242,3)),"")</f>
        <v/>
      </c>
      <c r="L242" s="27"/>
      <c r="M242" s="28"/>
    </row>
    <row r="243" ht="20.25" customHeight="1" spans="1:13">
      <c r="A243" s="18"/>
      <c r="B243" s="18"/>
      <c r="C243" s="19"/>
      <c r="K243" s="24" t="str">
        <f>IFERROR(IF(ISBLANK(F243),"",baoliuxiaoshuwei(F243*J243,3)),"")</f>
        <v/>
      </c>
      <c r="L243" s="29"/>
      <c r="M243" s="30"/>
    </row>
    <row r="244" ht="20.25" customHeight="1" spans="1:13">
      <c r="A244" s="13"/>
      <c r="B244" s="13"/>
      <c r="C244" s="14"/>
      <c r="K244" s="24" t="str">
        <f>IFERROR(IF(ISBLANK(F244),"",baoliuxiaoshuwei(F244*J244,3)),"")</f>
        <v/>
      </c>
      <c r="L244" s="25"/>
      <c r="M244" s="26" t="str">
        <f>IFERROR(IF(ISBLANK(L244),"",baoliuxiaoshuwei((L244*10/100)*C244,2)),"")</f>
        <v/>
      </c>
    </row>
    <row r="245" ht="20.25" customHeight="1" spans="1:13">
      <c r="A245" s="15"/>
      <c r="B245" s="15"/>
      <c r="C245" s="16"/>
      <c r="K245" s="24" t="str">
        <f>IFERROR(IF(ISBLANK(F245),"",baoliuxiaoshuwei(F245*J245,3)),"")</f>
        <v/>
      </c>
      <c r="L245" s="27"/>
      <c r="M245" s="28"/>
    </row>
    <row r="246" ht="20.25" customHeight="1" spans="1:13">
      <c r="A246" s="18"/>
      <c r="B246" s="18"/>
      <c r="C246" s="19"/>
      <c r="K246" s="24" t="str">
        <f>IFERROR(IF(ISBLANK(F246),"",baoliuxiaoshuwei(F246*J246,3)),"")</f>
        <v/>
      </c>
      <c r="L246" s="29"/>
      <c r="M246" s="30"/>
    </row>
    <row r="247" ht="20.25" customHeight="1" spans="1:13">
      <c r="A247" s="13"/>
      <c r="B247" s="13"/>
      <c r="C247" s="14"/>
      <c r="K247" s="24" t="str">
        <f>IFERROR(IF(ISBLANK(F247),"",baoliuxiaoshuwei(F247*J247,3)),"")</f>
        <v/>
      </c>
      <c r="L247" s="25"/>
      <c r="M247" s="26" t="str">
        <f>IFERROR(IF(ISBLANK(L247),"",baoliuxiaoshuwei((L247*10/100)*C247,2)),"")</f>
        <v/>
      </c>
    </row>
    <row r="248" ht="20.25" customHeight="1" spans="1:13">
      <c r="A248" s="15"/>
      <c r="B248" s="15"/>
      <c r="C248" s="16"/>
      <c r="K248" s="24" t="str">
        <f>IFERROR(IF(ISBLANK(F248),"",baoliuxiaoshuwei(F248*J248,3)),"")</f>
        <v/>
      </c>
      <c r="L248" s="27"/>
      <c r="M248" s="28"/>
    </row>
    <row r="249" ht="20.25" customHeight="1" spans="1:13">
      <c r="A249" s="18"/>
      <c r="B249" s="18"/>
      <c r="C249" s="19"/>
      <c r="K249" s="24" t="str">
        <f>IFERROR(IF(ISBLANK(F249),"",baoliuxiaoshuwei(F249*J249,3)),"")</f>
        <v/>
      </c>
      <c r="L249" s="29"/>
      <c r="M249" s="30"/>
    </row>
    <row r="250" ht="20.25" customHeight="1" spans="1:13">
      <c r="A250" s="13"/>
      <c r="B250" s="13"/>
      <c r="C250" s="14"/>
      <c r="K250" s="24" t="str">
        <f>IFERROR(IF(ISBLANK(F250),"",baoliuxiaoshuwei(F250*J250,3)),"")</f>
        <v/>
      </c>
      <c r="L250" s="25"/>
      <c r="M250" s="26" t="str">
        <f>IFERROR(IF(ISBLANK(L250),"",baoliuxiaoshuwei((L250*10/100)*C250,2)),"")</f>
        <v/>
      </c>
    </row>
    <row r="251" ht="20.25" customHeight="1" spans="1:13">
      <c r="A251" s="15"/>
      <c r="B251" s="15"/>
      <c r="C251" s="16"/>
      <c r="K251" s="24" t="str">
        <f>IFERROR(IF(ISBLANK(F251),"",baoliuxiaoshuwei(F251*J251,3)),"")</f>
        <v/>
      </c>
      <c r="L251" s="27"/>
      <c r="M251" s="28"/>
    </row>
    <row r="252" ht="20.25" customHeight="1" spans="1:13">
      <c r="A252" s="18"/>
      <c r="B252" s="18"/>
      <c r="C252" s="19"/>
      <c r="K252" s="24" t="str">
        <f>IFERROR(IF(ISBLANK(F252),"",baoliuxiaoshuwei(F252*J252,3)),"")</f>
        <v/>
      </c>
      <c r="L252" s="29"/>
      <c r="M252" s="30"/>
    </row>
    <row r="253" ht="20.25" customHeight="1" spans="1:13">
      <c r="A253" s="13"/>
      <c r="B253" s="13"/>
      <c r="C253" s="14"/>
      <c r="K253" s="24" t="str">
        <f>IFERROR(IF(ISBLANK(F253),"",baoliuxiaoshuwei(F253*J253,3)),"")</f>
        <v/>
      </c>
      <c r="L253" s="25"/>
      <c r="M253" s="26" t="str">
        <f>IFERROR(IF(ISBLANK(L253),"",baoliuxiaoshuwei((L253*10/100)*C253,2)),"")</f>
        <v/>
      </c>
    </row>
    <row r="254" ht="20.25" customHeight="1" spans="1:13">
      <c r="A254" s="15"/>
      <c r="B254" s="15"/>
      <c r="C254" s="16"/>
      <c r="K254" s="24" t="str">
        <f>IFERROR(IF(ISBLANK(F254),"",baoliuxiaoshuwei(F254*J254,3)),"")</f>
        <v/>
      </c>
      <c r="L254" s="27"/>
      <c r="M254" s="28"/>
    </row>
    <row r="255" ht="20.25" customHeight="1" spans="1:13">
      <c r="A255" s="18"/>
      <c r="B255" s="18"/>
      <c r="C255" s="19"/>
      <c r="K255" s="24" t="str">
        <f>IFERROR(IF(ISBLANK(F255),"",baoliuxiaoshuwei(F255*J255,3)),"")</f>
        <v/>
      </c>
      <c r="L255" s="29"/>
      <c r="M255" s="30"/>
    </row>
    <row r="256" ht="20.25" customHeight="1" spans="1:13">
      <c r="A256" s="13"/>
      <c r="B256" s="13"/>
      <c r="C256" s="14"/>
      <c r="K256" s="24" t="str">
        <f>IFERROR(IF(ISBLANK(F256),"",baoliuxiaoshuwei(F256*J256,3)),"")</f>
        <v/>
      </c>
      <c r="L256" s="25"/>
      <c r="M256" s="26" t="str">
        <f>IFERROR(IF(ISBLANK(L256),"",baoliuxiaoshuwei((L256*10/100)*C256,2)),"")</f>
        <v/>
      </c>
    </row>
    <row r="257" ht="20.25" customHeight="1" spans="1:13">
      <c r="A257" s="15"/>
      <c r="B257" s="15"/>
      <c r="C257" s="16"/>
      <c r="K257" s="24" t="str">
        <f>IFERROR(IF(ISBLANK(F257),"",baoliuxiaoshuwei(F257*J257,3)),"")</f>
        <v/>
      </c>
      <c r="L257" s="27"/>
      <c r="M257" s="28"/>
    </row>
    <row r="258" ht="20.25" customHeight="1" spans="1:13">
      <c r="A258" s="18"/>
      <c r="B258" s="18"/>
      <c r="C258" s="19"/>
      <c r="K258" s="24" t="str">
        <f>IFERROR(IF(ISBLANK(F258),"",baoliuxiaoshuwei(F258*J258,3)),"")</f>
        <v/>
      </c>
      <c r="L258" s="29"/>
      <c r="M258" s="30"/>
    </row>
    <row r="259" ht="20.25" customHeight="1" spans="1:13">
      <c r="A259" s="13"/>
      <c r="B259" s="13"/>
      <c r="C259" s="14"/>
      <c r="K259" s="24" t="str">
        <f>IFERROR(IF(ISBLANK(F259),"",baoliuxiaoshuwei(F259*J259,3)),"")</f>
        <v/>
      </c>
      <c r="L259" s="25"/>
      <c r="M259" s="26" t="str">
        <f>IFERROR(IF(ISBLANK(L259),"",baoliuxiaoshuwei((L259*10/100)*C259,2)),"")</f>
        <v/>
      </c>
    </row>
    <row r="260" ht="20.25" customHeight="1" spans="1:13">
      <c r="A260" s="15"/>
      <c r="B260" s="15"/>
      <c r="C260" s="16"/>
      <c r="K260" s="24" t="str">
        <f>IFERROR(IF(ISBLANK(F260),"",baoliuxiaoshuwei(F260*J260,3)),"")</f>
        <v/>
      </c>
      <c r="L260" s="27"/>
      <c r="M260" s="28"/>
    </row>
    <row r="261" ht="20.25" customHeight="1" spans="1:13">
      <c r="A261" s="18"/>
      <c r="B261" s="18"/>
      <c r="C261" s="19"/>
      <c r="K261" s="24" t="str">
        <f>IFERROR(IF(ISBLANK(F261),"",baoliuxiaoshuwei(F261*J261,3)),"")</f>
        <v/>
      </c>
      <c r="L261" s="29"/>
      <c r="M261" s="30"/>
    </row>
    <row r="262" ht="20.25" customHeight="1" spans="1:13">
      <c r="A262" s="13"/>
      <c r="B262" s="13"/>
      <c r="C262" s="14"/>
      <c r="K262" s="24" t="str">
        <f>IFERROR(IF(ISBLANK(F262),"",baoliuxiaoshuwei(F262*J262,3)),"")</f>
        <v/>
      </c>
      <c r="L262" s="25"/>
      <c r="M262" s="26" t="str">
        <f>IFERROR(IF(ISBLANK(L262),"",baoliuxiaoshuwei((L262*10/100)*C262,2)),"")</f>
        <v/>
      </c>
    </row>
    <row r="263" ht="20.25" customHeight="1" spans="1:13">
      <c r="A263" s="15"/>
      <c r="B263" s="15"/>
      <c r="C263" s="16"/>
      <c r="K263" s="24" t="str">
        <f>IFERROR(IF(ISBLANK(F263),"",baoliuxiaoshuwei(F263*J263,3)),"")</f>
        <v/>
      </c>
      <c r="L263" s="27"/>
      <c r="M263" s="28"/>
    </row>
    <row r="264" ht="20.25" customHeight="1" spans="1:13">
      <c r="A264" s="18"/>
      <c r="B264" s="18"/>
      <c r="C264" s="19"/>
      <c r="K264" s="24" t="str">
        <f>IFERROR(IF(ISBLANK(F264),"",baoliuxiaoshuwei(F264*J264,3)),"")</f>
        <v/>
      </c>
      <c r="L264" s="29"/>
      <c r="M264" s="30"/>
    </row>
    <row r="265" ht="20.25" customHeight="1" spans="1:13">
      <c r="A265" s="13"/>
      <c r="B265" s="13"/>
      <c r="C265" s="14"/>
      <c r="K265" s="24" t="str">
        <f>IFERROR(IF(ISBLANK(F265),"",baoliuxiaoshuwei(F265*J265,3)),"")</f>
        <v/>
      </c>
      <c r="L265" s="25"/>
      <c r="M265" s="26" t="str">
        <f>IFERROR(IF(ISBLANK(L265),"",baoliuxiaoshuwei((L265*10/100)*C265,2)),"")</f>
        <v/>
      </c>
    </row>
    <row r="266" ht="20.25" customHeight="1" spans="1:13">
      <c r="A266" s="15"/>
      <c r="B266" s="15"/>
      <c r="C266" s="16"/>
      <c r="K266" s="24" t="str">
        <f>IFERROR(IF(ISBLANK(F266),"",baoliuxiaoshuwei(F266*J266,3)),"")</f>
        <v/>
      </c>
      <c r="L266" s="27"/>
      <c r="M266" s="28"/>
    </row>
    <row r="267" ht="20.25" customHeight="1" spans="1:13">
      <c r="A267" s="18"/>
      <c r="B267" s="18"/>
      <c r="C267" s="19"/>
      <c r="K267" s="24" t="str">
        <f>IFERROR(IF(ISBLANK(F267),"",baoliuxiaoshuwei(F267*J267,3)),"")</f>
        <v/>
      </c>
      <c r="L267" s="29"/>
      <c r="M267" s="30"/>
    </row>
    <row r="268" ht="20.25" customHeight="1" spans="1:13">
      <c r="A268" s="13"/>
      <c r="B268" s="13"/>
      <c r="C268" s="14"/>
      <c r="K268" s="24" t="str">
        <f>IFERROR(IF(ISBLANK(F268),"",baoliuxiaoshuwei(F268*J268,3)),"")</f>
        <v/>
      </c>
      <c r="L268" s="25"/>
      <c r="M268" s="26" t="str">
        <f>IFERROR(IF(ISBLANK(L268),"",baoliuxiaoshuwei((L268*10/100)*C268,2)),"")</f>
        <v/>
      </c>
    </row>
    <row r="269" ht="20.25" customHeight="1" spans="1:13">
      <c r="A269" s="15"/>
      <c r="B269" s="15"/>
      <c r="C269" s="16"/>
      <c r="K269" s="24" t="str">
        <f>IFERROR(IF(ISBLANK(F269),"",baoliuxiaoshuwei(F269*J269,3)),"")</f>
        <v/>
      </c>
      <c r="L269" s="27"/>
      <c r="M269" s="28"/>
    </row>
    <row r="270" ht="20.25" customHeight="1" spans="1:13">
      <c r="A270" s="18"/>
      <c r="B270" s="18"/>
      <c r="C270" s="19"/>
      <c r="K270" s="24" t="str">
        <f>IFERROR(IF(ISBLANK(F270),"",baoliuxiaoshuwei(F270*J270,3)),"")</f>
        <v/>
      </c>
      <c r="L270" s="29"/>
      <c r="M270" s="30"/>
    </row>
    <row r="271" ht="20.25" customHeight="1" spans="1:13">
      <c r="A271" s="13"/>
      <c r="B271" s="13"/>
      <c r="C271" s="14"/>
      <c r="K271" s="24" t="str">
        <f>IFERROR(IF(ISBLANK(F271),"",baoliuxiaoshuwei(F271*J271,3)),"")</f>
        <v/>
      </c>
      <c r="L271" s="25"/>
      <c r="M271" s="26" t="str">
        <f>IFERROR(IF(ISBLANK(L271),"",baoliuxiaoshuwei((L271*10/100)*C271,2)),"")</f>
        <v/>
      </c>
    </row>
    <row r="272" ht="20.25" customHeight="1" spans="1:13">
      <c r="A272" s="15"/>
      <c r="B272" s="15"/>
      <c r="C272" s="16"/>
      <c r="K272" s="24" t="str">
        <f>IFERROR(IF(ISBLANK(F272),"",baoliuxiaoshuwei(F272*J272,3)),"")</f>
        <v/>
      </c>
      <c r="L272" s="27"/>
      <c r="M272" s="28"/>
    </row>
    <row r="273" ht="20.25" customHeight="1" spans="1:13">
      <c r="A273" s="18"/>
      <c r="B273" s="18"/>
      <c r="C273" s="19"/>
      <c r="K273" s="24" t="str">
        <f>IFERROR(IF(ISBLANK(F273),"",baoliuxiaoshuwei(F273*J273,3)),"")</f>
        <v/>
      </c>
      <c r="L273" s="29"/>
      <c r="M273" s="30"/>
    </row>
    <row r="274" ht="20.25" customHeight="1" spans="1:13">
      <c r="A274" s="13"/>
      <c r="B274" s="13"/>
      <c r="C274" s="14"/>
      <c r="K274" s="24" t="str">
        <f>IFERROR(IF(ISBLANK(F274),"",baoliuxiaoshuwei(F274*J274,3)),"")</f>
        <v/>
      </c>
      <c r="L274" s="25"/>
      <c r="M274" s="26" t="str">
        <f>IFERROR(IF(ISBLANK(L274),"",baoliuxiaoshuwei((L274*10/100)*C274,2)),"")</f>
        <v/>
      </c>
    </row>
    <row r="275" ht="20.25" customHeight="1" spans="1:13">
      <c r="A275" s="15"/>
      <c r="B275" s="15"/>
      <c r="C275" s="16"/>
      <c r="K275" s="24" t="str">
        <f>IFERROR(IF(ISBLANK(F275),"",baoliuxiaoshuwei(F275*J275,3)),"")</f>
        <v/>
      </c>
      <c r="L275" s="27"/>
      <c r="M275" s="28"/>
    </row>
    <row r="276" ht="20.25" customHeight="1" spans="1:13">
      <c r="A276" s="18"/>
      <c r="B276" s="18"/>
      <c r="C276" s="19"/>
      <c r="K276" s="24" t="str">
        <f>IFERROR(IF(ISBLANK(F276),"",baoliuxiaoshuwei(F276*J276,3)),"")</f>
        <v/>
      </c>
      <c r="L276" s="29"/>
      <c r="M276" s="30"/>
    </row>
    <row r="277" ht="20.25" customHeight="1" spans="1:13">
      <c r="A277" s="13"/>
      <c r="B277" s="13"/>
      <c r="C277" s="14"/>
      <c r="K277" s="24" t="str">
        <f>IFERROR(IF(ISBLANK(F277),"",baoliuxiaoshuwei(F277*J277,3)),"")</f>
        <v/>
      </c>
      <c r="L277" s="25"/>
      <c r="M277" s="26" t="str">
        <f>IFERROR(IF(ISBLANK(L277),"",baoliuxiaoshuwei((L277*10/100)*C277,2)),"")</f>
        <v/>
      </c>
    </row>
    <row r="278" ht="20.25" customHeight="1" spans="1:13">
      <c r="A278" s="15"/>
      <c r="B278" s="15"/>
      <c r="C278" s="16"/>
      <c r="K278" s="24" t="str">
        <f>IFERROR(IF(ISBLANK(F278),"",baoliuxiaoshuwei(F278*J278,3)),"")</f>
        <v/>
      </c>
      <c r="L278" s="27"/>
      <c r="M278" s="28"/>
    </row>
    <row r="279" ht="20.25" customHeight="1" spans="1:13">
      <c r="A279" s="18"/>
      <c r="B279" s="18"/>
      <c r="C279" s="19"/>
      <c r="K279" s="24" t="str">
        <f>IFERROR(IF(ISBLANK(F279),"",baoliuxiaoshuwei(F279*J279,3)),"")</f>
        <v/>
      </c>
      <c r="L279" s="29"/>
      <c r="M279" s="30"/>
    </row>
    <row r="280" ht="20.25" customHeight="1" spans="1:13">
      <c r="A280" s="13"/>
      <c r="B280" s="13"/>
      <c r="C280" s="14"/>
      <c r="K280" s="24" t="str">
        <f>IFERROR(IF(ISBLANK(F280),"",baoliuxiaoshuwei(F280*J280,3)),"")</f>
        <v/>
      </c>
      <c r="L280" s="25"/>
      <c r="M280" s="26" t="str">
        <f>IFERROR(IF(ISBLANK(L280),"",baoliuxiaoshuwei((L280*10/100)*C280,2)),"")</f>
        <v/>
      </c>
    </row>
    <row r="281" ht="20.25" customHeight="1" spans="1:13">
      <c r="A281" s="15"/>
      <c r="B281" s="15"/>
      <c r="C281" s="16"/>
      <c r="K281" s="24" t="str">
        <f>IFERROR(IF(ISBLANK(F281),"",baoliuxiaoshuwei(F281*J281,3)),"")</f>
        <v/>
      </c>
      <c r="L281" s="27"/>
      <c r="M281" s="28"/>
    </row>
    <row r="282" ht="20.25" customHeight="1" spans="1:13">
      <c r="A282" s="18"/>
      <c r="B282" s="18"/>
      <c r="C282" s="19"/>
      <c r="K282" s="24" t="str">
        <f>IFERROR(IF(ISBLANK(F282),"",baoliuxiaoshuwei(F282*J282,3)),"")</f>
        <v/>
      </c>
      <c r="L282" s="29"/>
      <c r="M282" s="30"/>
    </row>
    <row r="283" ht="20.25" customHeight="1" spans="1:13">
      <c r="A283" s="13"/>
      <c r="B283" s="13"/>
      <c r="C283" s="14"/>
      <c r="K283" s="24" t="str">
        <f>IFERROR(IF(ISBLANK(F283),"",baoliuxiaoshuwei(F283*J283,3)),"")</f>
        <v/>
      </c>
      <c r="L283" s="25"/>
      <c r="M283" s="26" t="str">
        <f>IFERROR(IF(ISBLANK(L283),"",baoliuxiaoshuwei((L283*10/100)*C283,2)),"")</f>
        <v/>
      </c>
    </row>
    <row r="284" ht="20.25" customHeight="1" spans="1:13">
      <c r="A284" s="15"/>
      <c r="B284" s="15"/>
      <c r="C284" s="16"/>
      <c r="K284" s="24" t="str">
        <f>IFERROR(IF(ISBLANK(F284),"",baoliuxiaoshuwei(F284*J284,3)),"")</f>
        <v/>
      </c>
      <c r="L284" s="27"/>
      <c r="M284" s="28"/>
    </row>
    <row r="285" ht="20.25" customHeight="1" spans="1:13">
      <c r="A285" s="18"/>
      <c r="B285" s="18"/>
      <c r="C285" s="19"/>
      <c r="K285" s="24" t="str">
        <f>IFERROR(IF(ISBLANK(F285),"",baoliuxiaoshuwei(F285*J285,3)),"")</f>
        <v/>
      </c>
      <c r="L285" s="29"/>
      <c r="M285" s="30"/>
    </row>
    <row r="286" ht="20.25" customHeight="1" spans="1:13">
      <c r="A286" s="13"/>
      <c r="B286" s="13"/>
      <c r="C286" s="14"/>
      <c r="K286" s="24" t="str">
        <f>IFERROR(IF(ISBLANK(F286),"",baoliuxiaoshuwei(F286*J286,3)),"")</f>
        <v/>
      </c>
      <c r="L286" s="25"/>
      <c r="M286" s="26" t="str">
        <f>IFERROR(IF(ISBLANK(L286),"",baoliuxiaoshuwei((L286*10/100)*C286,2)),"")</f>
        <v/>
      </c>
    </row>
    <row r="287" ht="20.25" customHeight="1" spans="1:13">
      <c r="A287" s="15"/>
      <c r="B287" s="15"/>
      <c r="C287" s="16"/>
      <c r="K287" s="24" t="str">
        <f>IFERROR(IF(ISBLANK(F287),"",baoliuxiaoshuwei(F287*J287,3)),"")</f>
        <v/>
      </c>
      <c r="L287" s="27"/>
      <c r="M287" s="28"/>
    </row>
    <row r="288" ht="20.25" customHeight="1" spans="1:13">
      <c r="A288" s="18"/>
      <c r="B288" s="18"/>
      <c r="C288" s="19"/>
      <c r="K288" s="24" t="str">
        <f>IFERROR(IF(ISBLANK(F288),"",baoliuxiaoshuwei(F288*J288,3)),"")</f>
        <v/>
      </c>
      <c r="L288" s="29"/>
      <c r="M288" s="30"/>
    </row>
    <row r="289" ht="20.25" customHeight="1" spans="1:13">
      <c r="A289" s="13"/>
      <c r="B289" s="13"/>
      <c r="C289" s="14"/>
      <c r="K289" s="24" t="str">
        <f>IFERROR(IF(ISBLANK(F289),"",baoliuxiaoshuwei(F289*J289,3)),"")</f>
        <v/>
      </c>
      <c r="L289" s="25"/>
      <c r="M289" s="26" t="str">
        <f>IFERROR(IF(ISBLANK(L289),"",baoliuxiaoshuwei((L289*10/100)*C289,2)),"")</f>
        <v/>
      </c>
    </row>
    <row r="290" ht="20.25" customHeight="1" spans="1:13">
      <c r="A290" s="15"/>
      <c r="B290" s="15"/>
      <c r="C290" s="16"/>
      <c r="K290" s="24" t="str">
        <f>IFERROR(IF(ISBLANK(F290),"",baoliuxiaoshuwei(F290*J290,3)),"")</f>
        <v/>
      </c>
      <c r="L290" s="27"/>
      <c r="M290" s="28"/>
    </row>
    <row r="291" ht="20.25" customHeight="1" spans="1:13">
      <c r="A291" s="18"/>
      <c r="B291" s="18"/>
      <c r="C291" s="19"/>
      <c r="K291" s="24" t="str">
        <f>IFERROR(IF(ISBLANK(F291),"",baoliuxiaoshuwei(F291*J291,3)),"")</f>
        <v/>
      </c>
      <c r="L291" s="29"/>
      <c r="M291" s="30"/>
    </row>
    <row r="292" ht="20.25" customHeight="1" spans="1:13">
      <c r="A292" s="13"/>
      <c r="B292" s="13"/>
      <c r="C292" s="14"/>
      <c r="K292" s="24" t="str">
        <f>IFERROR(IF(ISBLANK(F292),"",baoliuxiaoshuwei(F292*J292,3)),"")</f>
        <v/>
      </c>
      <c r="L292" s="25"/>
      <c r="M292" s="26" t="str">
        <f>IFERROR(IF(ISBLANK(L292),"",baoliuxiaoshuwei((L292*10/100)*C292,2)),"")</f>
        <v/>
      </c>
    </row>
    <row r="293" ht="20.25" customHeight="1" spans="1:13">
      <c r="A293" s="15"/>
      <c r="B293" s="15"/>
      <c r="C293" s="16"/>
      <c r="K293" s="24" t="str">
        <f>IFERROR(IF(ISBLANK(F293),"",baoliuxiaoshuwei(F293*J293,3)),"")</f>
        <v/>
      </c>
      <c r="L293" s="27"/>
      <c r="M293" s="28"/>
    </row>
    <row r="294" ht="20.25" customHeight="1" spans="1:13">
      <c r="A294" s="18"/>
      <c r="B294" s="18"/>
      <c r="C294" s="19"/>
      <c r="K294" s="24" t="str">
        <f>IFERROR(IF(ISBLANK(F294),"",baoliuxiaoshuwei(F294*J294,3)),"")</f>
        <v/>
      </c>
      <c r="L294" s="29"/>
      <c r="M294" s="30"/>
    </row>
    <row r="295" ht="20.25" customHeight="1" spans="1:13">
      <c r="A295" s="13"/>
      <c r="B295" s="13"/>
      <c r="C295" s="14"/>
      <c r="K295" s="24" t="str">
        <f>IFERROR(IF(ISBLANK(F295),"",baoliuxiaoshuwei(F295*J295,3)),"")</f>
        <v/>
      </c>
      <c r="L295" s="25"/>
      <c r="M295" s="26" t="str">
        <f>IFERROR(IF(ISBLANK(L295),"",baoliuxiaoshuwei((L295*10/100)*C295,2)),"")</f>
        <v/>
      </c>
    </row>
    <row r="296" ht="20.25" customHeight="1" spans="1:13">
      <c r="A296" s="15"/>
      <c r="B296" s="15"/>
      <c r="C296" s="16"/>
      <c r="K296" s="24" t="str">
        <f>IFERROR(IF(ISBLANK(F296),"",baoliuxiaoshuwei(F296*J296,3)),"")</f>
        <v/>
      </c>
      <c r="L296" s="27"/>
      <c r="M296" s="28"/>
    </row>
    <row r="297" ht="20.25" customHeight="1" spans="1:13">
      <c r="A297" s="18"/>
      <c r="B297" s="18"/>
      <c r="C297" s="19"/>
      <c r="K297" s="24" t="str">
        <f>IFERROR(IF(ISBLANK(F297),"",baoliuxiaoshuwei(F297*J297,3)),"")</f>
        <v/>
      </c>
      <c r="L297" s="29"/>
      <c r="M297" s="30"/>
    </row>
    <row r="298" ht="20.25" customHeight="1" spans="1:13">
      <c r="A298" s="13"/>
      <c r="B298" s="13"/>
      <c r="C298" s="14"/>
      <c r="K298" s="24" t="str">
        <f>IFERROR(IF(ISBLANK(F298),"",baoliuxiaoshuwei(F298*J298,3)),"")</f>
        <v/>
      </c>
      <c r="L298" s="25"/>
      <c r="M298" s="26" t="str">
        <f>IFERROR(IF(ISBLANK(L298),"",baoliuxiaoshuwei((L298*10/100)*C298,2)),"")</f>
        <v/>
      </c>
    </row>
    <row r="299" ht="20.25" customHeight="1" spans="1:13">
      <c r="A299" s="15"/>
      <c r="B299" s="15"/>
      <c r="C299" s="16"/>
      <c r="K299" s="24" t="str">
        <f>IFERROR(IF(ISBLANK(F299),"",baoliuxiaoshuwei(F299*J299,3)),"")</f>
        <v/>
      </c>
      <c r="L299" s="27"/>
      <c r="M299" s="28"/>
    </row>
    <row r="300" ht="20.25" customHeight="1" spans="1:13">
      <c r="A300" s="18"/>
      <c r="B300" s="18"/>
      <c r="C300" s="19"/>
      <c r="K300" s="24" t="str">
        <f>IFERROR(IF(ISBLANK(F300),"",baoliuxiaoshuwei(F300*J300,3)),"")</f>
        <v/>
      </c>
      <c r="L300" s="29"/>
      <c r="M300" s="30"/>
    </row>
    <row r="301" ht="20.25" customHeight="1" spans="1:13">
      <c r="A301" s="13"/>
      <c r="B301" s="13"/>
      <c r="C301" s="14"/>
      <c r="K301" s="24" t="str">
        <f>IFERROR(IF(ISBLANK(F301),"",baoliuxiaoshuwei(F301*J301,3)),"")</f>
        <v/>
      </c>
      <c r="L301" s="25"/>
      <c r="M301" s="26" t="str">
        <f>IFERROR(IF(ISBLANK(L301),"",baoliuxiaoshuwei((L301*10/100)*C301,2)),"")</f>
        <v/>
      </c>
    </row>
    <row r="302" ht="20.25" customHeight="1" spans="1:13">
      <c r="A302" s="15"/>
      <c r="B302" s="15"/>
      <c r="C302" s="16"/>
      <c r="K302" s="24" t="str">
        <f>IFERROR(IF(ISBLANK(F302),"",baoliuxiaoshuwei(F302*J302,3)),"")</f>
        <v/>
      </c>
      <c r="L302" s="27"/>
      <c r="M302" s="28"/>
    </row>
    <row r="303" ht="20.25" customHeight="1" spans="1:13">
      <c r="A303" s="18"/>
      <c r="B303" s="18"/>
      <c r="C303" s="19"/>
      <c r="K303" s="24" t="str">
        <f>IFERROR(IF(ISBLANK(F303),"",baoliuxiaoshuwei(F303*J303,3)),"")</f>
        <v/>
      </c>
      <c r="L303" s="29"/>
      <c r="M303" s="30"/>
    </row>
    <row r="304" ht="20.25" customHeight="1" spans="1:13">
      <c r="A304" s="13"/>
      <c r="B304" s="13"/>
      <c r="C304" s="14"/>
      <c r="K304" s="24" t="str">
        <f>IFERROR(IF(ISBLANK(F304),"",baoliuxiaoshuwei(F304*J304,3)),"")</f>
        <v/>
      </c>
      <c r="L304" s="25"/>
      <c r="M304" s="26" t="str">
        <f>IFERROR(IF(ISBLANK(L304),"",baoliuxiaoshuwei((L304*10/100)*C304,2)),"")</f>
        <v/>
      </c>
    </row>
    <row r="305" ht="20.25" customHeight="1" spans="1:13">
      <c r="A305" s="15"/>
      <c r="B305" s="15"/>
      <c r="C305" s="16"/>
      <c r="K305" s="24" t="str">
        <f>IFERROR(IF(ISBLANK(F305),"",baoliuxiaoshuwei(F305*J305,3)),"")</f>
        <v/>
      </c>
      <c r="L305" s="27"/>
      <c r="M305" s="28"/>
    </row>
    <row r="306" ht="20.25" customHeight="1" spans="1:13">
      <c r="A306" s="18"/>
      <c r="B306" s="18"/>
      <c r="C306" s="19"/>
      <c r="K306" s="24" t="str">
        <f>IFERROR(IF(ISBLANK(F306),"",baoliuxiaoshuwei(F306*J306,3)),"")</f>
        <v/>
      </c>
      <c r="L306" s="29"/>
      <c r="M306" s="30"/>
    </row>
    <row r="307" ht="20.25" customHeight="1" spans="1:13">
      <c r="A307" s="13"/>
      <c r="B307" s="13"/>
      <c r="C307" s="14"/>
      <c r="K307" s="24" t="str">
        <f>IFERROR(IF(ISBLANK(F307),"",baoliuxiaoshuwei(F307*J307,3)),"")</f>
        <v/>
      </c>
      <c r="L307" s="25"/>
      <c r="M307" s="26" t="str">
        <f>IFERROR(IF(ISBLANK(L307),"",baoliuxiaoshuwei((L307*10/100)*C307,2)),"")</f>
        <v/>
      </c>
    </row>
    <row r="308" ht="20.25" customHeight="1" spans="1:13">
      <c r="A308" s="15"/>
      <c r="B308" s="15"/>
      <c r="C308" s="16"/>
      <c r="K308" s="24" t="str">
        <f>IFERROR(IF(ISBLANK(F308),"",baoliuxiaoshuwei(F308*J308,3)),"")</f>
        <v/>
      </c>
      <c r="L308" s="27"/>
      <c r="M308" s="28"/>
    </row>
    <row r="309" ht="20.25" customHeight="1" spans="1:13">
      <c r="A309" s="18"/>
      <c r="B309" s="18"/>
      <c r="C309" s="19"/>
      <c r="K309" s="24" t="str">
        <f>IFERROR(IF(ISBLANK(F309),"",baoliuxiaoshuwei(F309*J309,3)),"")</f>
        <v/>
      </c>
      <c r="L309" s="29"/>
      <c r="M309" s="30"/>
    </row>
    <row r="310" ht="20.25" customHeight="1" spans="1:13">
      <c r="A310" s="13"/>
      <c r="B310" s="13"/>
      <c r="C310" s="14"/>
      <c r="K310" s="24" t="str">
        <f>IFERROR(IF(ISBLANK(F310),"",baoliuxiaoshuwei(F310*J310,3)),"")</f>
        <v/>
      </c>
      <c r="L310" s="25"/>
      <c r="M310" s="26" t="str">
        <f>IFERROR(IF(ISBLANK(L310),"",baoliuxiaoshuwei((L310*10/100)*C310,2)),"")</f>
        <v/>
      </c>
    </row>
    <row r="311" ht="20.25" customHeight="1" spans="1:13">
      <c r="A311" s="15"/>
      <c r="B311" s="15"/>
      <c r="C311" s="16"/>
      <c r="K311" s="24" t="str">
        <f>IFERROR(IF(ISBLANK(F311),"",baoliuxiaoshuwei(F311*J311,3)),"")</f>
        <v/>
      </c>
      <c r="L311" s="27"/>
      <c r="M311" s="28"/>
    </row>
    <row r="312" ht="20.25" customHeight="1" spans="1:13">
      <c r="A312" s="18"/>
      <c r="B312" s="18"/>
      <c r="C312" s="19"/>
      <c r="K312" s="24" t="str">
        <f>IFERROR(IF(ISBLANK(F312),"",baoliuxiaoshuwei(F312*J312,3)),"")</f>
        <v/>
      </c>
      <c r="L312" s="29"/>
      <c r="M312" s="30"/>
    </row>
    <row r="313" ht="20.25" customHeight="1" spans="1:13">
      <c r="A313" s="13"/>
      <c r="B313" s="13"/>
      <c r="C313" s="14"/>
      <c r="K313" s="24" t="str">
        <f>IFERROR(IF(ISBLANK(F313),"",baoliuxiaoshuwei(F313*J313,3)),"")</f>
        <v/>
      </c>
      <c r="L313" s="25"/>
      <c r="M313" s="26" t="str">
        <f>IFERROR(IF(ISBLANK(L313),"",baoliuxiaoshuwei((L313*10/100)*C313,2)),"")</f>
        <v/>
      </c>
    </row>
    <row r="314" ht="20.25" customHeight="1" spans="1:13">
      <c r="A314" s="15"/>
      <c r="B314" s="15"/>
      <c r="C314" s="16"/>
      <c r="K314" s="24" t="str">
        <f>IFERROR(IF(ISBLANK(F314),"",baoliuxiaoshuwei(F314*J314,3)),"")</f>
        <v/>
      </c>
      <c r="L314" s="27"/>
      <c r="M314" s="28"/>
    </row>
    <row r="315" ht="20.25" customHeight="1" spans="1:13">
      <c r="A315" s="18"/>
      <c r="B315" s="18"/>
      <c r="C315" s="19"/>
      <c r="K315" s="24" t="str">
        <f>IFERROR(IF(ISBLANK(F315),"",baoliuxiaoshuwei(F315*J315,3)),"")</f>
        <v/>
      </c>
      <c r="L315" s="29"/>
      <c r="M315" s="30"/>
    </row>
    <row r="316" ht="20.25" customHeight="1" spans="1:13">
      <c r="A316" s="13"/>
      <c r="B316" s="13"/>
      <c r="C316" s="14"/>
      <c r="K316" s="24" t="str">
        <f>IFERROR(IF(ISBLANK(F316),"",baoliuxiaoshuwei(F316*J316,3)),"")</f>
        <v/>
      </c>
      <c r="L316" s="34"/>
      <c r="M316" s="26" t="str">
        <f>IFERROR(IF(ISBLANK(L316),"",baoliuxiaoshuwei((L316*10/100)*C316,2)),"")</f>
        <v/>
      </c>
    </row>
    <row r="317" ht="20.25" customHeight="1" spans="1:13">
      <c r="A317" s="15"/>
      <c r="B317" s="15"/>
      <c r="C317" s="16"/>
      <c r="K317" s="24" t="str">
        <f>IFERROR(IF(ISBLANK(F317),"",baoliuxiaoshuwei(F317*J317,3)),"")</f>
        <v/>
      </c>
      <c r="L317" s="34"/>
      <c r="M317" s="28"/>
    </row>
    <row r="318" ht="20.25" customHeight="1" spans="1:13">
      <c r="A318" s="18"/>
      <c r="B318" s="18"/>
      <c r="C318" s="19"/>
      <c r="K318" s="24" t="str">
        <f>IFERROR(IF(ISBLANK(F318),"",baoliuxiaoshuwei(F318*J318,3)),"")</f>
        <v/>
      </c>
      <c r="L318" s="34"/>
      <c r="M318" s="30"/>
    </row>
    <row r="319" ht="20.25" customHeight="1" spans="1:13">
      <c r="A319" s="13"/>
      <c r="B319" s="13"/>
      <c r="C319" s="14"/>
      <c r="K319" s="24" t="str">
        <f>IFERROR(IF(ISBLANK(F319),"",baoliuxiaoshuwei(F319*J319,3)),"")</f>
        <v/>
      </c>
      <c r="L319" s="34"/>
      <c r="M319" s="26" t="str">
        <f>IFERROR(IF(ISBLANK(L319),"",baoliuxiaoshuwei((L319*10/100)*C319,2)),"")</f>
        <v/>
      </c>
    </row>
    <row r="320" ht="20.25" customHeight="1" spans="1:13">
      <c r="A320" s="15"/>
      <c r="B320" s="15"/>
      <c r="C320" s="16"/>
      <c r="K320" s="24" t="str">
        <f>IFERROR(IF(ISBLANK(F320),"",baoliuxiaoshuwei(F320*J320,3)),"")</f>
        <v/>
      </c>
      <c r="L320" s="34"/>
      <c r="M320" s="28"/>
    </row>
    <row r="321" ht="20.25" customHeight="1" spans="1:13">
      <c r="A321" s="18"/>
      <c r="B321" s="18"/>
      <c r="C321" s="19"/>
      <c r="K321" s="24" t="str">
        <f>IFERROR(IF(ISBLANK(F321),"",baoliuxiaoshuwei(F321*J321,3)),"")</f>
        <v/>
      </c>
      <c r="L321" s="34"/>
      <c r="M321" s="30"/>
    </row>
    <row r="322" ht="20.25" customHeight="1" spans="1:13">
      <c r="A322" s="13"/>
      <c r="B322" s="13"/>
      <c r="C322" s="14"/>
      <c r="K322" s="24" t="str">
        <f>IFERROR(IF(ISBLANK(F322),"",baoliuxiaoshuwei(F322*J322,3)),"")</f>
        <v/>
      </c>
      <c r="L322" s="34"/>
      <c r="M322" s="26" t="str">
        <f>IFERROR(IF(ISBLANK(L322),"",baoliuxiaoshuwei((L322*10/100)*C322,2)),"")</f>
        <v/>
      </c>
    </row>
    <row r="323" ht="20.25" customHeight="1" spans="1:13">
      <c r="A323" s="15"/>
      <c r="B323" s="15"/>
      <c r="C323" s="16"/>
      <c r="K323" s="24" t="str">
        <f>IFERROR(IF(ISBLANK(F323),"",baoliuxiaoshuwei(F323*J323,3)),"")</f>
        <v/>
      </c>
      <c r="L323" s="34"/>
      <c r="M323" s="28"/>
    </row>
    <row r="324" ht="20.25" customHeight="1" spans="1:13">
      <c r="A324" s="18"/>
      <c r="B324" s="18"/>
      <c r="C324" s="19"/>
      <c r="K324" s="24" t="str">
        <f>IFERROR(IF(ISBLANK(F324),"",baoliuxiaoshuwei(F324*J324,3)),"")</f>
        <v/>
      </c>
      <c r="L324" s="34"/>
      <c r="M324" s="30"/>
    </row>
    <row r="325" ht="20.25" customHeight="1" spans="1:13">
      <c r="A325" s="13"/>
      <c r="B325" s="13"/>
      <c r="C325" s="14"/>
      <c r="K325" s="24" t="str">
        <f>IFERROR(IF(ISBLANK(F325),"",baoliuxiaoshuwei(F325*J325,3)),"")</f>
        <v/>
      </c>
      <c r="L325" s="34"/>
      <c r="M325" s="26" t="str">
        <f>IFERROR(IF(ISBLANK(L325),"",baoliuxiaoshuwei((L325*10/100)*C325,2)),"")</f>
        <v/>
      </c>
    </row>
    <row r="326" ht="20.25" customHeight="1" spans="1:13">
      <c r="A326" s="15"/>
      <c r="B326" s="15"/>
      <c r="C326" s="16"/>
      <c r="K326" s="24" t="str">
        <f>IFERROR(IF(ISBLANK(F326),"",baoliuxiaoshuwei(F326*J326,3)),"")</f>
        <v/>
      </c>
      <c r="L326" s="34"/>
      <c r="M326" s="28"/>
    </row>
    <row r="327" ht="20.25" customHeight="1" spans="1:13">
      <c r="A327" s="18"/>
      <c r="B327" s="18"/>
      <c r="C327" s="19"/>
      <c r="K327" s="24" t="str">
        <f>IFERROR(IF(ISBLANK(F327),"",baoliuxiaoshuwei(F327*J327,3)),"")</f>
        <v/>
      </c>
      <c r="L327" s="34"/>
      <c r="M327" s="30"/>
    </row>
    <row r="328" ht="20.25" customHeight="1" spans="1:13">
      <c r="A328" s="13"/>
      <c r="B328" s="13"/>
      <c r="C328" s="14"/>
      <c r="K328" s="24" t="str">
        <f>IFERROR(IF(ISBLANK(F328),"",baoliuxiaoshuwei(F328*J328,3)),"")</f>
        <v/>
      </c>
      <c r="M328" s="35" t="str">
        <f>IFERROR(IF(ISBLANK(L328),"",baoliuxiaoshuwei((L328*10/100)*C328,1)),"")</f>
        <v/>
      </c>
    </row>
    <row r="329" ht="20.25" customHeight="1" spans="1:13">
      <c r="A329" s="15"/>
      <c r="B329" s="15"/>
      <c r="C329" s="16"/>
      <c r="K329" s="24" t="str">
        <f>IFERROR(IF(ISBLANK(F329),"",baoliuxiaoshuwei(F329*J329,3)),"")</f>
        <v/>
      </c>
      <c r="M329" s="36"/>
    </row>
    <row r="330" ht="20.25" customHeight="1" spans="1:13">
      <c r="A330" s="18"/>
      <c r="B330" s="18"/>
      <c r="C330" s="19"/>
      <c r="K330" s="24" t="str">
        <f>IFERROR(IF(ISBLANK(F330),"",baoliuxiaoshuwei(F330*J330,3)),"")</f>
        <v/>
      </c>
      <c r="M330" s="37"/>
    </row>
    <row r="331" ht="20.25" customHeight="1" spans="1:13">
      <c r="A331" s="13"/>
      <c r="B331" s="13"/>
      <c r="C331" s="14"/>
      <c r="K331" s="24" t="str">
        <f>IFERROR(IF(ISBLANK(F331),"",baoliuxiaoshuwei(F331*J331,3)),"")</f>
        <v/>
      </c>
      <c r="M331" s="35" t="str">
        <f>IFERROR(IF(ISBLANK(L331),"",baoliuxiaoshuwei((L331*10/100)*C331,1)),"")</f>
        <v/>
      </c>
    </row>
    <row r="332" ht="20.25" customHeight="1" spans="1:13">
      <c r="A332" s="15"/>
      <c r="B332" s="15"/>
      <c r="C332" s="16"/>
      <c r="K332" s="24" t="str">
        <f>IFERROR(IF(ISBLANK(F332),"",baoliuxiaoshuwei(F332*J332,3)),"")</f>
        <v/>
      </c>
      <c r="M332" s="36"/>
    </row>
    <row r="333" ht="20.25" customHeight="1" spans="1:13">
      <c r="A333" s="18"/>
      <c r="B333" s="18"/>
      <c r="C333" s="19"/>
      <c r="K333" s="24" t="str">
        <f>IFERROR(IF(ISBLANK(F333),"",baoliuxiaoshuwei(F333*J333,3)),"")</f>
        <v/>
      </c>
      <c r="M333" s="37"/>
    </row>
    <row r="334" ht="20.25" customHeight="1" spans="1:13">
      <c r="A334" s="13"/>
      <c r="B334" s="13"/>
      <c r="C334" s="14"/>
      <c r="K334" s="24" t="str">
        <f>IFERROR(IF(ISBLANK(F334),"",baoliuxiaoshuwei(F334*J334,3)),"")</f>
        <v/>
      </c>
      <c r="M334" s="35" t="str">
        <f>IFERROR(IF(ISBLANK(L334),"",baoliuxiaoshuwei((L334*10/100)*C334,1)),"")</f>
        <v/>
      </c>
    </row>
    <row r="335" ht="20.25" customHeight="1" spans="1:13">
      <c r="A335" s="15"/>
      <c r="B335" s="15"/>
      <c r="C335" s="16"/>
      <c r="K335" s="24" t="str">
        <f>IFERROR(IF(ISBLANK(F335),"",baoliuxiaoshuwei(F335*J335,3)),"")</f>
        <v/>
      </c>
      <c r="M335" s="36"/>
    </row>
    <row r="336" ht="20.25" customHeight="1" spans="1:13">
      <c r="A336" s="18"/>
      <c r="B336" s="18"/>
      <c r="C336" s="19"/>
      <c r="K336" s="24" t="str">
        <f>IFERROR(IF(ISBLANK(F336),"",baoliuxiaoshuwei(F336*J336,3)),"")</f>
        <v/>
      </c>
      <c r="M336" s="37"/>
    </row>
    <row r="337" ht="20.25" customHeight="1" spans="1:13">
      <c r="A337" s="13"/>
      <c r="B337" s="13"/>
      <c r="C337" s="14"/>
      <c r="K337" s="24" t="str">
        <f>IFERROR(IF(ISBLANK(F337),"",baoliuxiaoshuwei(F337*J337,3)),"")</f>
        <v/>
      </c>
      <c r="M337" s="35" t="str">
        <f>IFERROR(IF(ISBLANK(L337),"",baoliuxiaoshuwei((L337*10/100)*C337,1)),"")</f>
        <v/>
      </c>
    </row>
    <row r="338" ht="20.25" customHeight="1" spans="1:13">
      <c r="A338" s="15"/>
      <c r="B338" s="15"/>
      <c r="C338" s="16"/>
      <c r="K338" s="24" t="str">
        <f>IFERROR(IF(ISBLANK(F338),"",baoliuxiaoshuwei(F338*J338,3)),"")</f>
        <v/>
      </c>
      <c r="M338" s="36"/>
    </row>
    <row r="339" ht="20.25" customHeight="1" spans="1:13">
      <c r="A339" s="18"/>
      <c r="B339" s="18"/>
      <c r="C339" s="19"/>
      <c r="K339" s="24" t="str">
        <f>IFERROR(IF(ISBLANK(F339),"",baoliuxiaoshuwei(F339*J339,3)),"")</f>
        <v/>
      </c>
      <c r="M339" s="37"/>
    </row>
    <row r="340" ht="20.25" customHeight="1" spans="1:13">
      <c r="A340" s="13"/>
      <c r="B340" s="13"/>
      <c r="C340" s="14"/>
      <c r="K340" s="24" t="str">
        <f>IFERROR(IF(ISBLANK(F340),"",baoliuxiaoshuwei(F340*J340,3)),"")</f>
        <v/>
      </c>
      <c r="M340" s="35" t="str">
        <f>IFERROR(IF(ISBLANK(L340),"",baoliuxiaoshuwei((L340*10/100)*C340,1)),"")</f>
        <v/>
      </c>
    </row>
    <row r="341" ht="20.25" customHeight="1" spans="1:13">
      <c r="A341" s="15"/>
      <c r="B341" s="15"/>
      <c r="C341" s="16"/>
      <c r="K341" s="24" t="str">
        <f>IFERROR(IF(ISBLANK(F341),"",baoliuxiaoshuwei(F341*J341,3)),"")</f>
        <v/>
      </c>
      <c r="M341" s="36"/>
    </row>
    <row r="342" ht="20.25" customHeight="1" spans="1:13">
      <c r="A342" s="18"/>
      <c r="B342" s="18"/>
      <c r="C342" s="19"/>
      <c r="K342" s="24" t="str">
        <f>IFERROR(IF(ISBLANK(F342),"",baoliuxiaoshuwei(F342*J342,3)),"")</f>
        <v/>
      </c>
      <c r="M342" s="37"/>
    </row>
    <row r="343" ht="20.25" customHeight="1" spans="1:13">
      <c r="A343" s="13"/>
      <c r="B343" s="13"/>
      <c r="C343" s="14"/>
      <c r="K343" s="24" t="str">
        <f>IFERROR(IF(ISBLANK(F343),"",baoliuxiaoshuwei(F343*J343,3)),"")</f>
        <v/>
      </c>
      <c r="M343" s="35" t="str">
        <f>IFERROR(IF(ISBLANK(L343),"",baoliuxiaoshuwei((L343*10/100)*C343,1)),"")</f>
        <v/>
      </c>
    </row>
    <row r="344" ht="20.25" customHeight="1" spans="1:13">
      <c r="A344" s="15"/>
      <c r="B344" s="15"/>
      <c r="C344" s="16"/>
      <c r="K344" s="24" t="str">
        <f>IFERROR(IF(ISBLANK(F344),"",baoliuxiaoshuwei(F344*J344,3)),"")</f>
        <v/>
      </c>
      <c r="M344" s="36"/>
    </row>
    <row r="345" ht="20.25" customHeight="1" spans="1:13">
      <c r="A345" s="18"/>
      <c r="B345" s="18"/>
      <c r="C345" s="19"/>
      <c r="K345" s="24" t="str">
        <f>IFERROR(IF(ISBLANK(F345),"",baoliuxiaoshuwei(F345*J345,3)),"")</f>
        <v/>
      </c>
      <c r="M345" s="37"/>
    </row>
    <row r="346" ht="20.25" customHeight="1" spans="1:13">
      <c r="A346" s="13"/>
      <c r="B346" s="13"/>
      <c r="C346" s="14"/>
      <c r="K346" s="24" t="str">
        <f>IFERROR(IF(ISBLANK(F346),"",baoliuxiaoshuwei(F346*J346,3)),"")</f>
        <v/>
      </c>
      <c r="M346" s="35" t="str">
        <f>IFERROR(IF(ISBLANK(L346),"",baoliuxiaoshuwei((L346*10/100)*C346,1)),"")</f>
        <v/>
      </c>
    </row>
    <row r="347" ht="20.25" customHeight="1" spans="1:13">
      <c r="A347" s="15"/>
      <c r="B347" s="15"/>
      <c r="C347" s="16"/>
      <c r="K347" s="24" t="str">
        <f>IFERROR(IF(ISBLANK(F347),"",baoliuxiaoshuwei(F347*J347,3)),"")</f>
        <v/>
      </c>
      <c r="M347" s="36"/>
    </row>
    <row r="348" ht="20.25" customHeight="1" spans="1:13">
      <c r="A348" s="18"/>
      <c r="B348" s="18"/>
      <c r="C348" s="19"/>
      <c r="K348" s="24" t="str">
        <f>IFERROR(IF(ISBLANK(F348),"",baoliuxiaoshuwei(F348*J348,3)),"")</f>
        <v/>
      </c>
      <c r="M348" s="37"/>
    </row>
    <row r="349" ht="20.25" customHeight="1" spans="1:13">
      <c r="A349" s="13"/>
      <c r="B349" s="13"/>
      <c r="C349" s="14"/>
      <c r="K349" s="24" t="str">
        <f>IFERROR(IF(ISBLANK(F349),"",baoliuxiaoshuwei(F349*J349,3)),"")</f>
        <v/>
      </c>
      <c r="M349" s="35" t="str">
        <f>IFERROR(IF(ISBLANK(L349),"",baoliuxiaoshuwei((L349*10/100)*C349,1)),"")</f>
        <v/>
      </c>
    </row>
    <row r="350" ht="20.25" customHeight="1" spans="1:13">
      <c r="A350" s="15"/>
      <c r="B350" s="15"/>
      <c r="C350" s="16"/>
      <c r="K350" s="24" t="str">
        <f>IFERROR(IF(ISBLANK(F350),"",baoliuxiaoshuwei(F350*J350,3)),"")</f>
        <v/>
      </c>
      <c r="M350" s="36"/>
    </row>
    <row r="351" ht="20.25" customHeight="1" spans="1:13">
      <c r="A351" s="18"/>
      <c r="B351" s="18"/>
      <c r="C351" s="19"/>
      <c r="K351" s="24" t="str">
        <f>IFERROR(IF(ISBLANK(F351),"",baoliuxiaoshuwei(F351*J351,3)),"")</f>
        <v/>
      </c>
      <c r="M351" s="37"/>
    </row>
    <row r="352" ht="20.25" customHeight="1" spans="1:13">
      <c r="A352" s="13"/>
      <c r="B352" s="13"/>
      <c r="C352" s="14"/>
      <c r="K352" s="24" t="str">
        <f>IFERROR(IF(ISBLANK(F352),"",baoliuxiaoshuwei(F352*J352,3)),"")</f>
        <v/>
      </c>
      <c r="M352" s="35" t="str">
        <f>IFERROR(IF(ISBLANK(L352),"",baoliuxiaoshuwei((L352*10/100)*C352,1)),"")</f>
        <v/>
      </c>
    </row>
    <row r="353" ht="20.25" customHeight="1" spans="1:13">
      <c r="A353" s="15"/>
      <c r="B353" s="15"/>
      <c r="C353" s="16"/>
      <c r="K353" s="24" t="str">
        <f>IFERROR(IF(ISBLANK(F353),"",baoliuxiaoshuwei(F353*J353,3)),"")</f>
        <v/>
      </c>
      <c r="M353" s="36"/>
    </row>
    <row r="354" ht="20.25" customHeight="1" spans="1:13">
      <c r="A354" s="18"/>
      <c r="B354" s="18"/>
      <c r="C354" s="19"/>
      <c r="K354" s="24" t="str">
        <f>IFERROR(IF(ISBLANK(F354),"",baoliuxiaoshuwei(F354*J354,3)),"")</f>
        <v/>
      </c>
      <c r="M354" s="37"/>
    </row>
    <row r="355" ht="20.25" customHeight="1" spans="1:13">
      <c r="A355" s="13"/>
      <c r="B355" s="13"/>
      <c r="C355" s="14"/>
      <c r="K355" s="24" t="str">
        <f>IFERROR(IF(ISBLANK(F355),"",baoliuxiaoshuwei(F355*J355,3)),"")</f>
        <v/>
      </c>
      <c r="M355" s="35" t="str">
        <f>IFERROR(IF(ISBLANK(L355),"",baoliuxiaoshuwei((L355*10/100)*C355,1)),"")</f>
        <v/>
      </c>
    </row>
    <row r="356" ht="20.25" customHeight="1" spans="1:13">
      <c r="A356" s="15"/>
      <c r="B356" s="15"/>
      <c r="C356" s="16"/>
      <c r="K356" s="24" t="str">
        <f>IFERROR(IF(ISBLANK(F356),"",baoliuxiaoshuwei(F356*J356,3)),"")</f>
        <v/>
      </c>
      <c r="M356" s="36"/>
    </row>
    <row r="357" ht="20.25" customHeight="1" spans="1:13">
      <c r="A357" s="18"/>
      <c r="B357" s="18"/>
      <c r="C357" s="19"/>
      <c r="K357" s="24" t="str">
        <f>IFERROR(IF(ISBLANK(F357),"",baoliuxiaoshuwei(F357*J357,3)),"")</f>
        <v/>
      </c>
      <c r="M357" s="37"/>
    </row>
    <row r="358" ht="20.25" customHeight="1" spans="1:13">
      <c r="A358" s="13"/>
      <c r="B358" s="13"/>
      <c r="C358" s="14"/>
      <c r="K358" s="24" t="str">
        <f>IFERROR(IF(ISBLANK(F358),"",baoliuxiaoshuwei(F358*J358,3)),"")</f>
        <v/>
      </c>
      <c r="M358" s="35" t="str">
        <f>IFERROR(IF(ISBLANK(L358),"",baoliuxiaoshuwei((L358*10/100)*C358,1)),"")</f>
        <v/>
      </c>
    </row>
    <row r="359" ht="20.25" customHeight="1" spans="1:13">
      <c r="A359" s="15"/>
      <c r="B359" s="15"/>
      <c r="C359" s="16"/>
      <c r="K359" s="24" t="str">
        <f>IFERROR(IF(ISBLANK(F359),"",baoliuxiaoshuwei(F359*J359,3)),"")</f>
        <v/>
      </c>
      <c r="M359" s="36"/>
    </row>
    <row r="360" ht="20.25" customHeight="1" spans="1:13">
      <c r="A360" s="18"/>
      <c r="B360" s="18"/>
      <c r="C360" s="19"/>
      <c r="K360" s="24" t="str">
        <f>IFERROR(IF(ISBLANK(F360),"",baoliuxiaoshuwei(F360*J360,3)),"")</f>
        <v/>
      </c>
      <c r="M360" s="37"/>
    </row>
    <row r="361" ht="20.25" customHeight="1" spans="1:13">
      <c r="A361" s="13"/>
      <c r="B361" s="13"/>
      <c r="C361" s="14"/>
      <c r="K361" s="24" t="str">
        <f>IFERROR(IF(ISBLANK(F361),"",baoliuxiaoshuwei(F361*J361,3)),"")</f>
        <v/>
      </c>
      <c r="M361" s="35" t="str">
        <f>IFERROR(IF(ISBLANK(L361),"",baoliuxiaoshuwei((L361*10/100)*C361,1)),"")</f>
        <v/>
      </c>
    </row>
    <row r="362" ht="20.25" customHeight="1" spans="1:13">
      <c r="A362" s="15"/>
      <c r="B362" s="15"/>
      <c r="C362" s="16"/>
      <c r="K362" s="24" t="str">
        <f>IFERROR(IF(ISBLANK(F362),"",baoliuxiaoshuwei(F362*J362,3)),"")</f>
        <v/>
      </c>
      <c r="M362" s="36"/>
    </row>
    <row r="363" ht="20.25" customHeight="1" spans="1:13">
      <c r="A363" s="18"/>
      <c r="B363" s="18"/>
      <c r="C363" s="19"/>
      <c r="K363" s="24" t="str">
        <f>IFERROR(IF(ISBLANK(F363),"",baoliuxiaoshuwei(F363*J363,3)),"")</f>
        <v/>
      </c>
      <c r="M363" s="37"/>
    </row>
    <row r="364" ht="20.25" customHeight="1" spans="1:13">
      <c r="A364" s="13"/>
      <c r="B364" s="13"/>
      <c r="C364" s="14"/>
      <c r="K364" s="24" t="str">
        <f>IFERROR(IF(ISBLANK(F364),"",baoliuxiaoshuwei(F364*J364,3)),"")</f>
        <v/>
      </c>
      <c r="M364" s="35" t="str">
        <f>IFERROR(IF(ISBLANK(L364),"",baoliuxiaoshuwei((L364*10/100)*C364,1)),"")</f>
        <v/>
      </c>
    </row>
    <row r="365" ht="20.25" customHeight="1" spans="1:13">
      <c r="A365" s="15"/>
      <c r="B365" s="15"/>
      <c r="C365" s="16"/>
      <c r="K365" s="24" t="str">
        <f>IFERROR(IF(ISBLANK(F365),"",baoliuxiaoshuwei(F365*J365,3)),"")</f>
        <v/>
      </c>
      <c r="M365" s="36"/>
    </row>
    <row r="366" ht="20.25" customHeight="1" spans="1:13">
      <c r="A366" s="18"/>
      <c r="B366" s="18"/>
      <c r="C366" s="19"/>
      <c r="K366" s="24" t="str">
        <f>IFERROR(IF(ISBLANK(F366),"",baoliuxiaoshuwei(F366*J366,3)),"")</f>
        <v/>
      </c>
      <c r="M366" s="37"/>
    </row>
    <row r="367" ht="20.25" customHeight="1" spans="1:13">
      <c r="A367" s="13"/>
      <c r="B367" s="13"/>
      <c r="C367" s="14"/>
      <c r="K367" s="24" t="str">
        <f>IFERROR(IF(ISBLANK(F367),"",baoliuxiaoshuwei(F367*J367,3)),"")</f>
        <v/>
      </c>
      <c r="M367" s="35" t="str">
        <f>IFERROR(IF(ISBLANK(L367),"",baoliuxiaoshuwei((L367*10/100)*C367,1)),"")</f>
        <v/>
      </c>
    </row>
    <row r="368" ht="20.25" customHeight="1" spans="1:13">
      <c r="A368" s="15"/>
      <c r="B368" s="15"/>
      <c r="C368" s="16"/>
      <c r="K368" s="24" t="str">
        <f>IFERROR(IF(ISBLANK(F368),"",baoliuxiaoshuwei(F368*J368,3)),"")</f>
        <v/>
      </c>
      <c r="M368" s="36"/>
    </row>
    <row r="369" ht="20.25" customHeight="1" spans="1:13">
      <c r="A369" s="18"/>
      <c r="B369" s="18"/>
      <c r="C369" s="19"/>
      <c r="K369" s="24" t="str">
        <f>IFERROR(IF(ISBLANK(F369),"",baoliuxiaoshuwei(F369*J369,3)),"")</f>
        <v/>
      </c>
      <c r="M369" s="37"/>
    </row>
    <row r="370" ht="20.25" customHeight="1" spans="1:13">
      <c r="A370" s="13"/>
      <c r="B370" s="13"/>
      <c r="C370" s="14"/>
      <c r="K370" s="24" t="str">
        <f>IFERROR(IF(ISBLANK(F370),"",baoliuxiaoshuwei(F370*J370,3)),"")</f>
        <v/>
      </c>
      <c r="M370" s="35" t="str">
        <f>IFERROR(IF(ISBLANK(L370),"",baoliuxiaoshuwei((L370*10/100)*C370,1)),"")</f>
        <v/>
      </c>
    </row>
    <row r="371" ht="20.25" customHeight="1" spans="1:13">
      <c r="A371" s="15"/>
      <c r="B371" s="15"/>
      <c r="C371" s="16"/>
      <c r="K371" s="24" t="str">
        <f>IFERROR(IF(ISBLANK(F371),"",baoliuxiaoshuwei(F371*J371,3)),"")</f>
        <v/>
      </c>
      <c r="M371" s="36"/>
    </row>
    <row r="372" ht="20.25" customHeight="1" spans="1:13">
      <c r="A372" s="18"/>
      <c r="B372" s="18"/>
      <c r="C372" s="19"/>
      <c r="K372" s="24" t="str">
        <f>IFERROR(IF(ISBLANK(F372),"",baoliuxiaoshuwei(F372*J372,3)),"")</f>
        <v/>
      </c>
      <c r="M372" s="37"/>
    </row>
    <row r="373" spans="1:11">
      <c r="A373" s="13"/>
      <c r="B373" s="13"/>
      <c r="C373" s="14"/>
      <c r="K373" s="24" t="str">
        <f>IFERROR(IF(ISBLANK(F373),"",baoliuxiaoshuwei(F373*J373,3)),"")</f>
        <v/>
      </c>
    </row>
    <row r="374" spans="1:11">
      <c r="A374" s="15"/>
      <c r="B374" s="15"/>
      <c r="C374" s="16"/>
      <c r="K374" s="24" t="str">
        <f>IFERROR(IF(ISBLANK(F374),"",baoliuxiaoshuwei(F374*J374,3)),"")</f>
        <v/>
      </c>
    </row>
    <row r="375" spans="1:11">
      <c r="A375" s="18"/>
      <c r="B375" s="18"/>
      <c r="C375" s="19"/>
      <c r="K375" s="24" t="str">
        <f>IFERROR(IF(ISBLANK(F375),"",baoliuxiaoshuwei(F375*J375,3)),"")</f>
        <v/>
      </c>
    </row>
    <row r="376" spans="11:11">
      <c r="K376" s="24" t="str">
        <f>IFERROR(IF(ISBLANK(F376),"",baoliuxiaoshuwei(F376*J376,3)),"")</f>
        <v/>
      </c>
    </row>
    <row r="377" spans="11:11">
      <c r="K377" s="24" t="str">
        <f>IFERROR(IF(ISBLANK(F377),"",baoliuxiaoshuwei(F377*J377,3)),"")</f>
        <v/>
      </c>
    </row>
    <row r="378" spans="11:11">
      <c r="K378" s="24" t="str">
        <f>IFERROR(IF(ISBLANK(F378),"",baoliuxiaoshuwei(F378*J378,3)),"")</f>
        <v/>
      </c>
    </row>
    <row r="379" spans="11:11">
      <c r="K379" s="24" t="str">
        <f>IFERROR(IF(ISBLANK(F379),"",baoliuxiaoshuwei(F379*J379,3)),"")</f>
        <v/>
      </c>
    </row>
    <row r="380" spans="11:11">
      <c r="K380" s="24" t="str">
        <f>IFERROR(IF(ISBLANK(F380),"",baoliuxiaoshuwei(F380*J380,3)),"")</f>
        <v/>
      </c>
    </row>
    <row r="381" spans="11:11">
      <c r="K381" s="24" t="str">
        <f>IFERROR(IF(ISBLANK(F381),"",baoliuxiaoshuwei(F381*J381,3)),"")</f>
        <v/>
      </c>
    </row>
    <row r="382" spans="11:11">
      <c r="K382" s="24" t="str">
        <f>IFERROR(IF(ISBLANK(F382),"",baoliuxiaoshuwei(F382*J382,3)),"")</f>
        <v/>
      </c>
    </row>
    <row r="383" spans="11:11">
      <c r="K383" s="24" t="str">
        <f>IFERROR(IF(ISBLANK(F383),"",baoliuxiaoshuwei(F383*J383,3)),"")</f>
        <v/>
      </c>
    </row>
    <row r="384" spans="11:11">
      <c r="K384" s="24" t="str">
        <f>IFERROR(IF(ISBLANK(F384),"",baoliuxiaoshuwei(F384*J384,3)),"")</f>
        <v/>
      </c>
    </row>
    <row r="385" spans="11:11">
      <c r="K385" s="24" t="str">
        <f>IFERROR(IF(ISBLANK(F385),"",baoliuxiaoshuwei(F385*J385,3)),"")</f>
        <v/>
      </c>
    </row>
    <row r="386" spans="11:11">
      <c r="K386" s="24" t="str">
        <f>IFERROR(IF(ISBLANK(F386),"",baoliuxiaoshuwei(F386*J386,3)),"")</f>
        <v/>
      </c>
    </row>
    <row r="387" spans="11:11">
      <c r="K387" s="24" t="str">
        <f>IFERROR(IF(ISBLANK(F387),"",baoliuxiaoshuwei(F387*J387,3)),"")</f>
        <v/>
      </c>
    </row>
  </sheetData>
  <mergeCells count="615">
    <mergeCell ref="A1:S1"/>
    <mergeCell ref="N2:R2"/>
    <mergeCell ref="A2:A3"/>
    <mergeCell ref="A4:A6"/>
    <mergeCell ref="A7:A9"/>
    <mergeCell ref="A10:A12"/>
    <mergeCell ref="A13:A15"/>
    <mergeCell ref="A16:A18"/>
    <mergeCell ref="A19:A21"/>
    <mergeCell ref="A22:A24"/>
    <mergeCell ref="A25:A27"/>
    <mergeCell ref="A28:A30"/>
    <mergeCell ref="A31:A33"/>
    <mergeCell ref="A34:A36"/>
    <mergeCell ref="A37:A39"/>
    <mergeCell ref="A40:A42"/>
    <mergeCell ref="A43:A45"/>
    <mergeCell ref="A46:A48"/>
    <mergeCell ref="A49:A51"/>
    <mergeCell ref="A52:A54"/>
    <mergeCell ref="A55:A57"/>
    <mergeCell ref="A58:A60"/>
    <mergeCell ref="A61:A63"/>
    <mergeCell ref="A64:A66"/>
    <mergeCell ref="A67:A69"/>
    <mergeCell ref="A70:A72"/>
    <mergeCell ref="A73:A75"/>
    <mergeCell ref="A76:A78"/>
    <mergeCell ref="A79:A81"/>
    <mergeCell ref="A82:A84"/>
    <mergeCell ref="A85:A87"/>
    <mergeCell ref="A88:A90"/>
    <mergeCell ref="A91:A93"/>
    <mergeCell ref="A94:A96"/>
    <mergeCell ref="A97:A99"/>
    <mergeCell ref="A100:A102"/>
    <mergeCell ref="A103:A105"/>
    <mergeCell ref="A106:A108"/>
    <mergeCell ref="A109:A111"/>
    <mergeCell ref="A112:A114"/>
    <mergeCell ref="A115:A117"/>
    <mergeCell ref="A118:A120"/>
    <mergeCell ref="A121:A123"/>
    <mergeCell ref="A124:A126"/>
    <mergeCell ref="A127:A129"/>
    <mergeCell ref="A130:A132"/>
    <mergeCell ref="A133:A135"/>
    <mergeCell ref="A136:A138"/>
    <mergeCell ref="A139:A141"/>
    <mergeCell ref="A142:A144"/>
    <mergeCell ref="A145:A147"/>
    <mergeCell ref="A148:A150"/>
    <mergeCell ref="A151:A153"/>
    <mergeCell ref="A154:A156"/>
    <mergeCell ref="A157:A159"/>
    <mergeCell ref="A160:A162"/>
    <mergeCell ref="A163:A165"/>
    <mergeCell ref="A166:A168"/>
    <mergeCell ref="A169:A171"/>
    <mergeCell ref="A172:A174"/>
    <mergeCell ref="A175:A177"/>
    <mergeCell ref="A178:A180"/>
    <mergeCell ref="A181:A183"/>
    <mergeCell ref="A184:A186"/>
    <mergeCell ref="A187:A189"/>
    <mergeCell ref="A190:A192"/>
    <mergeCell ref="A193:A195"/>
    <mergeCell ref="A196:A198"/>
    <mergeCell ref="A199:A201"/>
    <mergeCell ref="A202:A204"/>
    <mergeCell ref="A205:A207"/>
    <mergeCell ref="A208:A210"/>
    <mergeCell ref="A211:A213"/>
    <mergeCell ref="A214:A216"/>
    <mergeCell ref="A217:A219"/>
    <mergeCell ref="A220:A222"/>
    <mergeCell ref="A223:A225"/>
    <mergeCell ref="A226:A228"/>
    <mergeCell ref="A229:A231"/>
    <mergeCell ref="A232:A234"/>
    <mergeCell ref="A235:A237"/>
    <mergeCell ref="A238:A240"/>
    <mergeCell ref="A241:A243"/>
    <mergeCell ref="A244:A246"/>
    <mergeCell ref="A247:A249"/>
    <mergeCell ref="A250:A252"/>
    <mergeCell ref="A253:A255"/>
    <mergeCell ref="A256:A258"/>
    <mergeCell ref="A259:A261"/>
    <mergeCell ref="A262:A264"/>
    <mergeCell ref="A265:A267"/>
    <mergeCell ref="A268:A270"/>
    <mergeCell ref="A271:A273"/>
    <mergeCell ref="A274:A276"/>
    <mergeCell ref="A277:A279"/>
    <mergeCell ref="A280:A282"/>
    <mergeCell ref="A283:A285"/>
    <mergeCell ref="A286:A288"/>
    <mergeCell ref="A289:A291"/>
    <mergeCell ref="A292:A294"/>
    <mergeCell ref="A295:A297"/>
    <mergeCell ref="A298:A300"/>
    <mergeCell ref="A301:A303"/>
    <mergeCell ref="A304:A306"/>
    <mergeCell ref="A307:A309"/>
    <mergeCell ref="A310:A312"/>
    <mergeCell ref="A313:A315"/>
    <mergeCell ref="A316:A318"/>
    <mergeCell ref="A319:A321"/>
    <mergeCell ref="A322:A324"/>
    <mergeCell ref="A325:A327"/>
    <mergeCell ref="A328:A330"/>
    <mergeCell ref="A331:A333"/>
    <mergeCell ref="A334:A336"/>
    <mergeCell ref="A337:A339"/>
    <mergeCell ref="A340:A342"/>
    <mergeCell ref="A343:A345"/>
    <mergeCell ref="A346:A348"/>
    <mergeCell ref="A349:A351"/>
    <mergeCell ref="A352:A354"/>
    <mergeCell ref="A355:A357"/>
    <mergeCell ref="A358:A360"/>
    <mergeCell ref="A361:A363"/>
    <mergeCell ref="A364:A366"/>
    <mergeCell ref="A367:A369"/>
    <mergeCell ref="A370:A372"/>
    <mergeCell ref="A373:A375"/>
    <mergeCell ref="B2:B3"/>
    <mergeCell ref="B4:B6"/>
    <mergeCell ref="B7:B9"/>
    <mergeCell ref="B10:B12"/>
    <mergeCell ref="B13:B15"/>
    <mergeCell ref="B16:B18"/>
    <mergeCell ref="B19:B21"/>
    <mergeCell ref="B22:B24"/>
    <mergeCell ref="B25:B27"/>
    <mergeCell ref="B28:B30"/>
    <mergeCell ref="B31:B33"/>
    <mergeCell ref="B34:B36"/>
    <mergeCell ref="B37:B39"/>
    <mergeCell ref="B40:B42"/>
    <mergeCell ref="B43:B45"/>
    <mergeCell ref="B46:B48"/>
    <mergeCell ref="B49:B51"/>
    <mergeCell ref="B52:B54"/>
    <mergeCell ref="B55:B57"/>
    <mergeCell ref="B58:B60"/>
    <mergeCell ref="B61:B63"/>
    <mergeCell ref="B64:B66"/>
    <mergeCell ref="B67:B69"/>
    <mergeCell ref="B70:B72"/>
    <mergeCell ref="B73:B75"/>
    <mergeCell ref="B76:B78"/>
    <mergeCell ref="B79:B81"/>
    <mergeCell ref="B82:B84"/>
    <mergeCell ref="B85:B87"/>
    <mergeCell ref="B88:B90"/>
    <mergeCell ref="B91:B93"/>
    <mergeCell ref="B94:B96"/>
    <mergeCell ref="B97:B99"/>
    <mergeCell ref="B100:B102"/>
    <mergeCell ref="B103:B105"/>
    <mergeCell ref="B106:B108"/>
    <mergeCell ref="B109:B111"/>
    <mergeCell ref="B112:B114"/>
    <mergeCell ref="B115:B117"/>
    <mergeCell ref="B118:B120"/>
    <mergeCell ref="B121:B123"/>
    <mergeCell ref="B124:B126"/>
    <mergeCell ref="B127:B129"/>
    <mergeCell ref="B130:B132"/>
    <mergeCell ref="B133:B135"/>
    <mergeCell ref="B136:B138"/>
    <mergeCell ref="B139:B141"/>
    <mergeCell ref="B142:B144"/>
    <mergeCell ref="B145:B147"/>
    <mergeCell ref="B148:B150"/>
    <mergeCell ref="B151:B153"/>
    <mergeCell ref="B154:B156"/>
    <mergeCell ref="B157:B159"/>
    <mergeCell ref="B160:B162"/>
    <mergeCell ref="B163:B165"/>
    <mergeCell ref="B166:B168"/>
    <mergeCell ref="B169:B171"/>
    <mergeCell ref="B172:B174"/>
    <mergeCell ref="B175:B177"/>
    <mergeCell ref="B178:B180"/>
    <mergeCell ref="B181:B183"/>
    <mergeCell ref="B184:B186"/>
    <mergeCell ref="B187:B189"/>
    <mergeCell ref="B190:B192"/>
    <mergeCell ref="B193:B195"/>
    <mergeCell ref="B196:B198"/>
    <mergeCell ref="B199:B201"/>
    <mergeCell ref="B202:B204"/>
    <mergeCell ref="B205:B207"/>
    <mergeCell ref="B208:B210"/>
    <mergeCell ref="B211:B213"/>
    <mergeCell ref="B214:B216"/>
    <mergeCell ref="B217:B219"/>
    <mergeCell ref="B220:B222"/>
    <mergeCell ref="B223:B225"/>
    <mergeCell ref="B226:B228"/>
    <mergeCell ref="B229:B231"/>
    <mergeCell ref="B232:B234"/>
    <mergeCell ref="B235:B237"/>
    <mergeCell ref="B238:B240"/>
    <mergeCell ref="B241:B243"/>
    <mergeCell ref="B244:B246"/>
    <mergeCell ref="B247:B249"/>
    <mergeCell ref="B250:B252"/>
    <mergeCell ref="B253:B255"/>
    <mergeCell ref="B256:B258"/>
    <mergeCell ref="B259:B261"/>
    <mergeCell ref="B262:B264"/>
    <mergeCell ref="B265:B267"/>
    <mergeCell ref="B268:B270"/>
    <mergeCell ref="B271:B273"/>
    <mergeCell ref="B274:B276"/>
    <mergeCell ref="B277:B279"/>
    <mergeCell ref="B280:B282"/>
    <mergeCell ref="B283:B285"/>
    <mergeCell ref="B286:B288"/>
    <mergeCell ref="B289:B291"/>
    <mergeCell ref="B292:B294"/>
    <mergeCell ref="B295:B297"/>
    <mergeCell ref="B298:B300"/>
    <mergeCell ref="B301:B303"/>
    <mergeCell ref="B304:B306"/>
    <mergeCell ref="B307:B309"/>
    <mergeCell ref="B310:B312"/>
    <mergeCell ref="B313:B315"/>
    <mergeCell ref="B316:B318"/>
    <mergeCell ref="B319:B321"/>
    <mergeCell ref="B322:B324"/>
    <mergeCell ref="B325:B327"/>
    <mergeCell ref="B328:B330"/>
    <mergeCell ref="B331:B333"/>
    <mergeCell ref="B334:B336"/>
    <mergeCell ref="B337:B339"/>
    <mergeCell ref="B340:B342"/>
    <mergeCell ref="B343:B345"/>
    <mergeCell ref="B346:B348"/>
    <mergeCell ref="B349:B351"/>
    <mergeCell ref="B352:B354"/>
    <mergeCell ref="B355:B357"/>
    <mergeCell ref="B358:B360"/>
    <mergeCell ref="B361:B363"/>
    <mergeCell ref="B364:B366"/>
    <mergeCell ref="B367:B369"/>
    <mergeCell ref="B370:B372"/>
    <mergeCell ref="B373:B375"/>
    <mergeCell ref="C2:C3"/>
    <mergeCell ref="C4:C6"/>
    <mergeCell ref="C7:C9"/>
    <mergeCell ref="C10:C12"/>
    <mergeCell ref="C13:C15"/>
    <mergeCell ref="C16:C18"/>
    <mergeCell ref="C19:C21"/>
    <mergeCell ref="C22:C24"/>
    <mergeCell ref="C25:C27"/>
    <mergeCell ref="C28:C30"/>
    <mergeCell ref="C31:C33"/>
    <mergeCell ref="C34:C36"/>
    <mergeCell ref="C37:C39"/>
    <mergeCell ref="C40:C42"/>
    <mergeCell ref="C43:C45"/>
    <mergeCell ref="C46:C48"/>
    <mergeCell ref="C49:C51"/>
    <mergeCell ref="C52:C54"/>
    <mergeCell ref="C55:C57"/>
    <mergeCell ref="C58:C60"/>
    <mergeCell ref="C61:C63"/>
    <mergeCell ref="C64:C66"/>
    <mergeCell ref="C67:C69"/>
    <mergeCell ref="C70:C72"/>
    <mergeCell ref="C73:C75"/>
    <mergeCell ref="C76:C78"/>
    <mergeCell ref="C79:C81"/>
    <mergeCell ref="C82:C84"/>
    <mergeCell ref="C85:C87"/>
    <mergeCell ref="C88:C90"/>
    <mergeCell ref="C91:C93"/>
    <mergeCell ref="C94:C96"/>
    <mergeCell ref="C97:C99"/>
    <mergeCell ref="C100:C102"/>
    <mergeCell ref="C103:C105"/>
    <mergeCell ref="C106:C108"/>
    <mergeCell ref="C109:C111"/>
    <mergeCell ref="C112:C114"/>
    <mergeCell ref="C115:C117"/>
    <mergeCell ref="C118:C120"/>
    <mergeCell ref="C121:C123"/>
    <mergeCell ref="C124:C126"/>
    <mergeCell ref="C127:C129"/>
    <mergeCell ref="C130:C132"/>
    <mergeCell ref="C133:C135"/>
    <mergeCell ref="C136:C138"/>
    <mergeCell ref="C139:C141"/>
    <mergeCell ref="C142:C144"/>
    <mergeCell ref="C145:C147"/>
    <mergeCell ref="C148:C150"/>
    <mergeCell ref="C151:C153"/>
    <mergeCell ref="C154:C156"/>
    <mergeCell ref="C157:C159"/>
    <mergeCell ref="C160:C162"/>
    <mergeCell ref="C163:C165"/>
    <mergeCell ref="C166:C168"/>
    <mergeCell ref="C169:C171"/>
    <mergeCell ref="C172:C174"/>
    <mergeCell ref="C175:C177"/>
    <mergeCell ref="C178:C180"/>
    <mergeCell ref="C181:C183"/>
    <mergeCell ref="C184:C186"/>
    <mergeCell ref="C187:C189"/>
    <mergeCell ref="C190:C192"/>
    <mergeCell ref="C193:C195"/>
    <mergeCell ref="C196:C198"/>
    <mergeCell ref="C199:C201"/>
    <mergeCell ref="C202:C204"/>
    <mergeCell ref="C205:C207"/>
    <mergeCell ref="C208:C210"/>
    <mergeCell ref="C211:C213"/>
    <mergeCell ref="C214:C216"/>
    <mergeCell ref="C217:C219"/>
    <mergeCell ref="C220:C222"/>
    <mergeCell ref="C223:C225"/>
    <mergeCell ref="C226:C228"/>
    <mergeCell ref="C229:C231"/>
    <mergeCell ref="C232:C234"/>
    <mergeCell ref="C235:C237"/>
    <mergeCell ref="C238:C240"/>
    <mergeCell ref="C241:C243"/>
    <mergeCell ref="C244:C246"/>
    <mergeCell ref="C247:C249"/>
    <mergeCell ref="C250:C252"/>
    <mergeCell ref="C253:C255"/>
    <mergeCell ref="C256:C258"/>
    <mergeCell ref="C259:C261"/>
    <mergeCell ref="C262:C264"/>
    <mergeCell ref="C265:C267"/>
    <mergeCell ref="C268:C270"/>
    <mergeCell ref="C271:C273"/>
    <mergeCell ref="C274:C276"/>
    <mergeCell ref="C277:C279"/>
    <mergeCell ref="C280:C282"/>
    <mergeCell ref="C283:C285"/>
    <mergeCell ref="C286:C288"/>
    <mergeCell ref="C289:C291"/>
    <mergeCell ref="C292:C294"/>
    <mergeCell ref="C295:C297"/>
    <mergeCell ref="C298:C300"/>
    <mergeCell ref="C301:C303"/>
    <mergeCell ref="C304:C306"/>
    <mergeCell ref="C307:C309"/>
    <mergeCell ref="C310:C312"/>
    <mergeCell ref="C313:C315"/>
    <mergeCell ref="C316:C318"/>
    <mergeCell ref="C319:C321"/>
    <mergeCell ref="C322:C324"/>
    <mergeCell ref="C325:C327"/>
    <mergeCell ref="C328:C330"/>
    <mergeCell ref="C331:C333"/>
    <mergeCell ref="C334:C336"/>
    <mergeCell ref="C337:C339"/>
    <mergeCell ref="C340:C342"/>
    <mergeCell ref="C343:C345"/>
    <mergeCell ref="C346:C348"/>
    <mergeCell ref="C349:C351"/>
    <mergeCell ref="C352:C354"/>
    <mergeCell ref="C355:C357"/>
    <mergeCell ref="C358:C360"/>
    <mergeCell ref="C361:C363"/>
    <mergeCell ref="C364:C366"/>
    <mergeCell ref="C367:C369"/>
    <mergeCell ref="C370:C372"/>
    <mergeCell ref="C373:C375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L4:L6"/>
    <mergeCell ref="L7:L9"/>
    <mergeCell ref="L10:L12"/>
    <mergeCell ref="L13:L15"/>
    <mergeCell ref="L16:L18"/>
    <mergeCell ref="L19:L21"/>
    <mergeCell ref="L22:L24"/>
    <mergeCell ref="L25:L27"/>
    <mergeCell ref="L28:L30"/>
    <mergeCell ref="L31:L33"/>
    <mergeCell ref="L34:L36"/>
    <mergeCell ref="L37:L39"/>
    <mergeCell ref="L40:L42"/>
    <mergeCell ref="L43:L45"/>
    <mergeCell ref="L46:L48"/>
    <mergeCell ref="L49:L51"/>
    <mergeCell ref="L52:L54"/>
    <mergeCell ref="L55:L57"/>
    <mergeCell ref="L58:L60"/>
    <mergeCell ref="L61:L63"/>
    <mergeCell ref="L64:L66"/>
    <mergeCell ref="L67:L69"/>
    <mergeCell ref="L70:L72"/>
    <mergeCell ref="L73:L75"/>
    <mergeCell ref="L76:L78"/>
    <mergeCell ref="L79:L81"/>
    <mergeCell ref="L82:L84"/>
    <mergeCell ref="L85:L87"/>
    <mergeCell ref="L88:L90"/>
    <mergeCell ref="L91:L93"/>
    <mergeCell ref="L94:L96"/>
    <mergeCell ref="L97:L99"/>
    <mergeCell ref="L100:L102"/>
    <mergeCell ref="L103:L105"/>
    <mergeCell ref="L106:L108"/>
    <mergeCell ref="L109:L111"/>
    <mergeCell ref="L112:L114"/>
    <mergeCell ref="L115:L117"/>
    <mergeCell ref="L118:L120"/>
    <mergeCell ref="L121:L123"/>
    <mergeCell ref="L124:L126"/>
    <mergeCell ref="L127:L129"/>
    <mergeCell ref="L130:L132"/>
    <mergeCell ref="L133:L135"/>
    <mergeCell ref="L136:L138"/>
    <mergeCell ref="L139:L141"/>
    <mergeCell ref="L142:L144"/>
    <mergeCell ref="L145:L147"/>
    <mergeCell ref="L148:L150"/>
    <mergeCell ref="L151:L153"/>
    <mergeCell ref="L154:L156"/>
    <mergeCell ref="L157:L159"/>
    <mergeCell ref="L160:L162"/>
    <mergeCell ref="L163:L165"/>
    <mergeCell ref="L166:L168"/>
    <mergeCell ref="L169:L171"/>
    <mergeCell ref="L172:L174"/>
    <mergeCell ref="L175:L177"/>
    <mergeCell ref="L178:L180"/>
    <mergeCell ref="L181:L183"/>
    <mergeCell ref="L184:L186"/>
    <mergeCell ref="L187:L189"/>
    <mergeCell ref="L190:L192"/>
    <mergeCell ref="L193:L195"/>
    <mergeCell ref="L196:L198"/>
    <mergeCell ref="L199:L201"/>
    <mergeCell ref="L202:L204"/>
    <mergeCell ref="L205:L207"/>
    <mergeCell ref="L208:L210"/>
    <mergeCell ref="L211:L213"/>
    <mergeCell ref="L214:L216"/>
    <mergeCell ref="L217:L219"/>
    <mergeCell ref="L220:L222"/>
    <mergeCell ref="L223:L225"/>
    <mergeCell ref="L226:L228"/>
    <mergeCell ref="L229:L231"/>
    <mergeCell ref="L232:L234"/>
    <mergeCell ref="L235:L237"/>
    <mergeCell ref="L238:L240"/>
    <mergeCell ref="L241:L243"/>
    <mergeCell ref="L244:L246"/>
    <mergeCell ref="L247:L249"/>
    <mergeCell ref="L250:L252"/>
    <mergeCell ref="L253:L255"/>
    <mergeCell ref="L256:L258"/>
    <mergeCell ref="L259:L261"/>
    <mergeCell ref="L262:L264"/>
    <mergeCell ref="L265:L267"/>
    <mergeCell ref="L268:L270"/>
    <mergeCell ref="L271:L273"/>
    <mergeCell ref="L274:L276"/>
    <mergeCell ref="L277:L279"/>
    <mergeCell ref="L280:L282"/>
    <mergeCell ref="L283:L285"/>
    <mergeCell ref="L286:L288"/>
    <mergeCell ref="L289:L291"/>
    <mergeCell ref="L292:L294"/>
    <mergeCell ref="L295:L297"/>
    <mergeCell ref="L298:L300"/>
    <mergeCell ref="L301:L303"/>
    <mergeCell ref="L304:L306"/>
    <mergeCell ref="L307:L309"/>
    <mergeCell ref="L310:L312"/>
    <mergeCell ref="L313:L315"/>
    <mergeCell ref="M2:M3"/>
    <mergeCell ref="M4:M6"/>
    <mergeCell ref="M7:M9"/>
    <mergeCell ref="M10:M12"/>
    <mergeCell ref="M13:M15"/>
    <mergeCell ref="M16:M18"/>
    <mergeCell ref="M19:M21"/>
    <mergeCell ref="M22:M24"/>
    <mergeCell ref="M25:M27"/>
    <mergeCell ref="M28:M30"/>
    <mergeCell ref="M31:M33"/>
    <mergeCell ref="M34:M36"/>
    <mergeCell ref="M37:M39"/>
    <mergeCell ref="M40:M42"/>
    <mergeCell ref="M43:M45"/>
    <mergeCell ref="M46:M48"/>
    <mergeCell ref="M49:M51"/>
    <mergeCell ref="M52:M54"/>
    <mergeCell ref="M55:M57"/>
    <mergeCell ref="M58:M60"/>
    <mergeCell ref="M61:M63"/>
    <mergeCell ref="M64:M66"/>
    <mergeCell ref="M67:M69"/>
    <mergeCell ref="M70:M72"/>
    <mergeCell ref="M73:M75"/>
    <mergeCell ref="M76:M78"/>
    <mergeCell ref="M79:M81"/>
    <mergeCell ref="M82:M84"/>
    <mergeCell ref="M85:M87"/>
    <mergeCell ref="M88:M90"/>
    <mergeCell ref="M91:M93"/>
    <mergeCell ref="M94:M96"/>
    <mergeCell ref="M97:M99"/>
    <mergeCell ref="M100:M102"/>
    <mergeCell ref="M103:M105"/>
    <mergeCell ref="M106:M108"/>
    <mergeCell ref="M109:M111"/>
    <mergeCell ref="M112:M114"/>
    <mergeCell ref="M115:M117"/>
    <mergeCell ref="M118:M120"/>
    <mergeCell ref="M121:M123"/>
    <mergeCell ref="M124:M126"/>
    <mergeCell ref="M127:M129"/>
    <mergeCell ref="M130:M132"/>
    <mergeCell ref="M133:M135"/>
    <mergeCell ref="M136:M138"/>
    <mergeCell ref="M139:M141"/>
    <mergeCell ref="M142:M144"/>
    <mergeCell ref="M145:M147"/>
    <mergeCell ref="M148:M150"/>
    <mergeCell ref="M151:M153"/>
    <mergeCell ref="M154:M156"/>
    <mergeCell ref="M157:M159"/>
    <mergeCell ref="M160:M162"/>
    <mergeCell ref="M163:M165"/>
    <mergeCell ref="M166:M168"/>
    <mergeCell ref="M169:M171"/>
    <mergeCell ref="M172:M174"/>
    <mergeCell ref="M175:M177"/>
    <mergeCell ref="M178:M180"/>
    <mergeCell ref="M181:M183"/>
    <mergeCell ref="M184:M186"/>
    <mergeCell ref="M187:M189"/>
    <mergeCell ref="M190:M192"/>
    <mergeCell ref="M193:M195"/>
    <mergeCell ref="M196:M198"/>
    <mergeCell ref="M199:M201"/>
    <mergeCell ref="M202:M204"/>
    <mergeCell ref="M205:M207"/>
    <mergeCell ref="M208:M210"/>
    <mergeCell ref="M211:M213"/>
    <mergeCell ref="M214:M216"/>
    <mergeCell ref="M217:M219"/>
    <mergeCell ref="M220:M222"/>
    <mergeCell ref="M223:M225"/>
    <mergeCell ref="M226:M228"/>
    <mergeCell ref="M229:M231"/>
    <mergeCell ref="M232:M234"/>
    <mergeCell ref="M235:M237"/>
    <mergeCell ref="M238:M240"/>
    <mergeCell ref="M241:M243"/>
    <mergeCell ref="M244:M246"/>
    <mergeCell ref="M247:M249"/>
    <mergeCell ref="M250:M252"/>
    <mergeCell ref="M253:M255"/>
    <mergeCell ref="M256:M258"/>
    <mergeCell ref="M259:M261"/>
    <mergeCell ref="M262:M264"/>
    <mergeCell ref="M265:M267"/>
    <mergeCell ref="M268:M270"/>
    <mergeCell ref="M271:M273"/>
    <mergeCell ref="M274:M276"/>
    <mergeCell ref="M277:M279"/>
    <mergeCell ref="M280:M282"/>
    <mergeCell ref="M283:M285"/>
    <mergeCell ref="M286:M288"/>
    <mergeCell ref="M289:M291"/>
    <mergeCell ref="M292:M294"/>
    <mergeCell ref="M295:M297"/>
    <mergeCell ref="M298:M300"/>
    <mergeCell ref="M301:M303"/>
    <mergeCell ref="M304:M306"/>
    <mergeCell ref="M307:M309"/>
    <mergeCell ref="M310:M312"/>
    <mergeCell ref="M313:M315"/>
    <mergeCell ref="M316:M318"/>
    <mergeCell ref="M319:M321"/>
    <mergeCell ref="M322:M324"/>
    <mergeCell ref="M325:M327"/>
    <mergeCell ref="M328:M330"/>
    <mergeCell ref="M331:M333"/>
    <mergeCell ref="M334:M336"/>
    <mergeCell ref="M337:M339"/>
    <mergeCell ref="M340:M342"/>
    <mergeCell ref="M343:M345"/>
    <mergeCell ref="M346:M348"/>
    <mergeCell ref="M349:M351"/>
    <mergeCell ref="M352:M354"/>
    <mergeCell ref="M355:M357"/>
    <mergeCell ref="M358:M360"/>
    <mergeCell ref="M361:M363"/>
    <mergeCell ref="M364:M366"/>
    <mergeCell ref="M367:M369"/>
    <mergeCell ref="M370:M372"/>
    <mergeCell ref="S2:S3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2021-10-26T09:06:50Z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