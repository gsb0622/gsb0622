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3APNW3jPwJRkr3dAP2ce8mxrQdYXH/c2RUP/p7+z5C7MazGWpk3otx6wQKoMRzHXUquWu912yA8jYilrcT8Asg==" workbookSaltValue="t8UMRBcy6PHa8yS7gh1Rmw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<sst xmlns="http://schemas.openxmlformats.org/spreadsheetml/2006/main" count="89">
  <si>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</si>
  <si>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</si>
  <si>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</si>
  <si>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</si>
  <si>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</si>
  <si>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</si>
  <si>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</si>
  <si>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</si>
  <si>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</si>
  <si>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任务号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</si>
  <si>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</si>
  <si>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</si>
  <si>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任务名称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</si>
  <si>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</si>
  <si>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</si>
  <si>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检测日期</t>
  </si>
  <si>
    <t>安全</t>
  </si>
  <si>
    <t>高效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</si>
  <si>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</si>
  <si>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</si>
  <si>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样品类别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</si>
  <si>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</si>
  <si>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</si>
  <si>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检测地点</t>
  </si>
  <si>
    <t>302室</t>
  </si>
  <si>
    <t>检测依据</t>
  </si>
  <si>
    <t>温度(℃)</t>
  </si>
  <si>
    <t>湿度(%)</t>
  </si>
  <si>
    <t>检出限(ng/g)</t>
  </si>
  <si>
    <t>α-666:0.027;    γ-666:0.026;
β-666:0.052;    δ-666:0.024;
p,p'-DDE:0.028; o,p'-DDT:0.038;
p,p'-DDD:0.041; p,p'-DDT;0.041.</t>
  </si>
  <si>
    <r>
      <rPr>
        <b/>
        <sz val="11"/>
        <color theme="1"/>
        <rFont val="宋体"/>
        <charset val="134"/>
      </rPr>
      <t>说明：</t>
    </r>
  </si>
  <si>
    <t>定量限</t>
  </si>
  <si>
    <t>/</t>
  </si>
  <si>
    <r>
      <rPr>
        <sz val="11"/>
        <color rgb="FFFF0000"/>
        <rFont val="宋体"/>
        <charset val="134"/>
      </rPr>
      <t>为需填写内容</t>
    </r>
  </si>
  <si>
    <t>仪器名称编号</t>
  </si>
  <si>
    <t>气相色谱仪AS007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</si>
  <si>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</si>
  <si>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</si>
  <si>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</si>
  <si>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</si>
  <si>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</si>
  <si>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</si>
  <si>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</si>
  <si>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</si>
  <si>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</si>
  <si>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</si>
  <si>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>检测器温度(℃)</t>
  </si>
  <si>
    <t>不分流进样</t>
  </si>
  <si>
    <t>进样方式</t>
  </si>
  <si>
    <r>
      <rPr>
        <sz val="11"/>
        <color theme="1"/>
        <rFont val="Times New Roman"/>
        <charset val="134"/>
      </rPr>
      <t xml:space="preserve"> </t>
    </r>
    <r>
      <rPr>
        <sz val="11"/>
        <color theme="1"/>
        <rFont val="微软雅黑"/>
        <charset val="134"/>
      </rPr>
      <t>不分流进样</t>
    </r>
    <r>
      <rPr>
        <sz val="11"/>
        <color theme="1"/>
        <rFont val="Times New Roman"/>
        <charset val="134"/>
      </rPr>
      <t xml:space="preserve">
 </t>
    </r>
    <r>
      <rPr>
        <sz val="11"/>
        <color theme="1"/>
        <rFont val="微软雅黑"/>
        <charset val="134"/>
      </rPr>
      <t>分流进样（分流比</t>
    </r>
    <r>
      <rPr>
        <sz val="11"/>
        <color theme="1"/>
        <rFont val="Times New Roman"/>
        <charset val="134"/>
      </rPr>
      <t xml:space="preserve">   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 xml:space="preserve">  </t>
    </r>
    <r>
      <rPr>
        <sz val="11"/>
        <color theme="1"/>
        <rFont val="微软雅黑"/>
        <charset val="134"/>
      </rPr>
      <t>）</t>
    </r>
  </si>
  <si>
    <t>进样口温度(℃)</t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</si>
  <si>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</si>
  <si>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</si>
  <si>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</si>
  <si>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柱温程序</t>
  </si>
  <si>
    <t>初温100℃，保持1min，以15℃/min升至275℃，保持10min。</t>
  </si>
  <si>
    <t>标准溶液</t>
  </si>
  <si>
    <r>
      <rPr>
        <sz val="11"/>
        <color theme="1"/>
        <rFont val="宋体"/>
        <charset val="134"/>
      </rPr>
      <t>标准工作溶液浓度(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g/L)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</si>
  <si>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</si>
  <si>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</si>
  <si>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</si>
  <si>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</si>
  <si>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</si>
  <si>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÷(m×(1-W))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</si>
  <si>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</si>
  <si>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</si>
  <si>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</si>
  <si>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</si>
  <si>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</si>
  <si>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</si>
  <si>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</si>
  <si>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取样量（）</t>
  </si>
  <si>
    <t>检测项目</t>
  </si>
  <si>
    <t>定性判定</t>
  </si>
  <si>
    <t>定量结果</t>
  </si>
  <si>
    <t>含水率%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</si>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</sst>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_ "/>
    <numFmt numFmtId="177" formatCode="0.0_ ;[Red]\-0.0\ "/>
    <numFmt numFmtId="178" formatCode="0.0"/>
  </numFmts>
  <fonts count="40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theme="1"/>
      <name val="Calibri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0"/>
      <name val="Arial"/>
      <charset val="134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22" fillId="16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21" borderId="18" applyNumberFormat="0" applyFont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34" fillId="25" borderId="21" applyNumberFormat="0" applyAlignment="0" applyProtection="0">
      <alignment vertical="center"/>
    </xf>
    <xf numFmtId="0" fontId="26" fillId="25" borderId="16" applyNumberFormat="0" applyAlignment="0" applyProtection="0">
      <alignment vertical="center"/>
    </xf>
    <xf numFmtId="0" fontId="31" fillId="33" borderId="20" applyNumberFormat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35" fillId="0" borderId="22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30" fillId="0" borderId="0"/>
  </cellStyleXfs>
  <cellXfs count="121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2" xfId="0" applyNumberFormat="1" applyFont="1" applyFill="1" applyBorder="1" applyAlignment="1" applyProtection="1">
      <alignment horizontal="center" vertical="center"/>
      <protection locked="0"/>
    </xf>
    <xf numFmtId="49" fontId="2" fillId="6" borderId="0" xfId="49" applyNumberFormat="1" applyFont="1" applyFill="1" applyAlignment="1" applyProtection="1">
      <alignment horizontal="left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0" xfId="0" applyFont="1" applyFill="1" applyAlignment="1">
      <alignment horizontal="center" vertical="center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6" borderId="5" xfId="49" applyNumberFormat="1" applyFont="1" applyFill="1" applyBorder="1" applyAlignment="1" applyProtection="1">
      <alignment horizontal="left" vertical="center"/>
      <protection locked="0"/>
    </xf>
    <xf numFmtId="49" fontId="7" fillId="6" borderId="6" xfId="49" applyNumberFormat="1" applyFont="1" applyFill="1" applyBorder="1" applyAlignment="1" applyProtection="1">
      <alignment horizontal="left" vertical="center"/>
      <protection locked="0"/>
    </xf>
    <xf numFmtId="49" fontId="3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9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0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0" fontId="7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8" fillId="8" borderId="0" xfId="0" applyNumberFormat="1" applyFont="1" applyFill="1" applyBorder="1" applyProtection="1"/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8" borderId="0" xfId="0" applyNumberFormat="1" applyFont="1" applyFill="1" applyBorder="1" applyAlignment="1" applyProtection="1">
      <alignment horizontal="center"/>
    </xf>
    <xf numFmtId="49" fontId="5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0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176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176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2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49" fontId="13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7" borderId="4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7" borderId="7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8" xfId="0" applyNumberFormat="1" applyFont="1" applyFill="1" applyBorder="1" applyAlignment="1">
      <alignment horizontal="center" vertical="center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11" xfId="0" applyNumberFormat="1" applyFont="1" applyFill="1" applyBorder="1" applyAlignment="1">
      <alignment horizontal="righ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2" fillId="6" borderId="2" xfId="0" applyNumberFormat="1" applyFont="1" applyFill="1" applyBorder="1" applyAlignment="1" applyProtection="1">
      <alignment horizontal="left" vertical="center"/>
      <protection locked="0"/>
    </xf>
    <xf numFmtId="49" fontId="2" fillId="6" borderId="12" xfId="0" applyNumberFormat="1" applyFont="1" applyFill="1" applyBorder="1" applyAlignment="1" applyProtection="1">
      <alignment horizontal="left" vertical="center"/>
      <protection locked="0"/>
    </xf>
    <xf numFmtId="49" fontId="2" fillId="6" borderId="13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4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5" fillId="2" borderId="14" xfId="0" applyNumberFormat="1" applyFont="1" applyFill="1" applyBorder="1" applyAlignment="1" applyProtection="1"/>
    <xf numFmtId="49" fontId="1" fillId="2" borderId="14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7" borderId="0" xfId="0" applyNumberFormat="1" applyFont="1" applyFill="1" applyBorder="1" applyProtection="1"/>
    <xf numFmtId="49" fontId="12" fillId="2" borderId="0" xfId="0" applyNumberFormat="1" applyFont="1" applyFill="1" applyBorder="1" applyProtection="1"/>
    <xf numFmtId="49" fontId="12" fillId="2" borderId="0" xfId="0" applyNumberFormat="1" applyFont="1" applyFill="1" applyAlignment="1">
      <alignment vertical="center"/>
    </xf>
    <xf numFmtId="49" fontId="12" fillId="2" borderId="0" xfId="0" applyNumberFormat="1" applyFont="1" applyFill="1" applyBorder="1" applyAlignment="1" applyProtection="1">
      <alignment vertical="center"/>
    </xf>
    <xf numFmtId="49" fontId="11" fillId="2" borderId="0" xfId="0" applyNumberFormat="1" applyFont="1" applyFill="1" applyAlignment="1">
      <alignment vertical="center"/>
    </xf>
    <xf numFmtId="49" fontId="11" fillId="2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3224510" y="543941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695170" y="516318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2</xdr:col>
      <xdr:colOff>31376</xdr:colOff>
      <xdr:row>22</xdr:row>
      <xdr:rowOff>35859</xdr:rowOff>
    </xdr:from>
    <xdr:ext cx="65" cy="172227"/>
    <xdr:sp>
      <xdr:nvSpPr>
        <xdr:cNvPr id="4" name="文本框 3"/>
        <xdr:cNvSpPr txBox="1"/>
      </xdr:nvSpPr>
      <xdr:spPr>
        <a:xfrm>
          <a:off x="2507615" y="992124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22413</xdr:colOff>
      <xdr:row>24</xdr:row>
      <xdr:rowOff>134472</xdr:rowOff>
    </xdr:from>
    <xdr:ext cx="1447800" cy="174278"/>
    <xdr:sp>
      <xdr:nvSpPr>
        <xdr:cNvPr id="5" name="文本框 4"/>
        <xdr:cNvSpPr txBox="1"/>
      </xdr:nvSpPr>
      <xdr:spPr>
        <a:xfrm>
          <a:off x="6842125" y="10701655"/>
          <a:ext cx="1447800" cy="174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Z27"/>
  <sheetViews>
    <sheetView tabSelected="1" zoomScale="85" zoomScaleNormal="85" workbookViewId="0">
      <selection activeCell="A8" sqref="A8"/>
    </sheetView>
  </sheetViews>
  <sheetFormatPr defaultColWidth="9" defaultRowHeight="20.25" customHeight="1"/>
  <cols>
    <col min="1" max="1" width="20.1111111111111" style="39" customWidth="1"/>
    <col min="2" max="2" width="16" style="39" customWidth="1"/>
    <col min="3" max="3" width="32.4444444444444" style="39" customWidth="1"/>
    <col min="4" max="4" width="17.6666666666667" style="39" customWidth="1"/>
    <col min="5" max="5" width="13.2222222222222" style="39" customWidth="1"/>
    <col min="6" max="6" width="30.2222222222222" style="2" customWidth="1"/>
    <col min="7" max="16" width="5.11111111111111" style="2" customWidth="1"/>
    <col min="17" max="21" width="9" style="2"/>
    <col min="22" max="22" width="20.6666666666667" style="2" customWidth="1"/>
    <col min="23" max="23" width="22.1111111111111" style="2" customWidth="1"/>
    <col min="24" max="16384" width="9" style="2"/>
  </cols>
  <sheetData>
    <row r="1" customHeight="1" spans="1:23">
      <c r="A1" s="40" t="s">
        <v>0</v>
      </c>
      <c r="B1" s="40"/>
      <c r="C1" s="40"/>
      <c r="D1" s="40"/>
      <c r="E1" s="40"/>
      <c r="F1" s="41" t="s">
        <v>1</v>
      </c>
      <c r="G1" s="42"/>
      <c r="H1" s="42"/>
      <c r="I1" s="42"/>
      <c r="J1" s="42"/>
      <c r="K1" s="42"/>
      <c r="L1" s="42"/>
      <c r="M1" s="42"/>
      <c r="N1" s="42"/>
      <c r="O1" s="42"/>
      <c r="P1" s="106"/>
      <c r="U1" s="116"/>
      <c r="V1" s="117" t="s">
        <v>2</v>
      </c>
      <c r="W1" s="117" t="s">
        <v>3</v>
      </c>
    </row>
    <row r="2" s="1" customFormat="1" ht="21" customHeight="1" spans="1:23">
      <c r="A2" s="43" t="s">
        <v>4</v>
      </c>
      <c r="B2" s="44"/>
      <c r="C2" s="45"/>
      <c r="D2" s="45"/>
      <c r="E2" s="46"/>
      <c r="F2" s="47"/>
      <c r="G2" s="42"/>
      <c r="H2" s="48" t="s">
        <v>5</v>
      </c>
      <c r="I2" s="48"/>
      <c r="J2" s="48"/>
      <c r="K2" s="52"/>
      <c r="L2" s="48" t="s">
        <v>6</v>
      </c>
      <c r="M2" s="48"/>
      <c r="N2" s="48"/>
      <c r="O2" s="42"/>
      <c r="P2" s="106"/>
      <c r="U2" s="118"/>
      <c r="V2" s="117" t="s">
        <v>7</v>
      </c>
      <c r="W2" s="117" t="s">
        <v>8</v>
      </c>
    </row>
    <row r="3" s="1" customFormat="1" ht="21" customHeight="1" spans="1:23">
      <c r="A3" s="43" t="s">
        <v>9</v>
      </c>
      <c r="B3" s="49"/>
      <c r="C3" s="50"/>
      <c r="D3" s="50"/>
      <c r="E3" s="51"/>
      <c r="F3" s="47"/>
      <c r="G3" s="42"/>
      <c r="H3" s="48"/>
      <c r="I3" s="48"/>
      <c r="J3" s="48"/>
      <c r="K3" s="52"/>
      <c r="L3" s="48"/>
      <c r="M3" s="48"/>
      <c r="N3" s="48"/>
      <c r="O3" s="42"/>
      <c r="P3" s="106"/>
      <c r="U3" s="118"/>
      <c r="V3" s="117" t="s">
        <v>10</v>
      </c>
      <c r="W3" s="117" t="s">
        <v>11</v>
      </c>
    </row>
    <row r="4" s="1" customFormat="1" ht="21" customHeight="1" spans="1:26">
      <c r="A4" s="43" t="s">
        <v>12</v>
      </c>
      <c r="B4" s="49"/>
      <c r="C4" s="50"/>
      <c r="D4" s="50"/>
      <c r="E4" s="51"/>
      <c r="F4" s="47"/>
      <c r="G4" s="42"/>
      <c r="H4" s="52"/>
      <c r="I4" s="52"/>
      <c r="J4" s="52"/>
      <c r="K4" s="52"/>
      <c r="L4" s="52"/>
      <c r="M4" s="107"/>
      <c r="N4" s="107"/>
      <c r="O4" s="42"/>
      <c r="P4" s="106"/>
      <c r="Q4" s="112"/>
      <c r="R4" s="112"/>
      <c r="S4" s="112"/>
      <c r="T4" s="112"/>
      <c r="U4" s="117"/>
      <c r="V4" s="117" t="s">
        <v>13</v>
      </c>
      <c r="W4" s="117" t="s">
        <v>14</v>
      </c>
      <c r="X4" s="119"/>
      <c r="Y4" s="119"/>
      <c r="Z4" s="112"/>
    </row>
    <row r="5" s="1" customFormat="1" ht="21" customHeight="1" spans="1:26">
      <c r="A5" s="43" t="s">
        <v>15</v>
      </c>
      <c r="B5" s="49"/>
      <c r="C5" s="50"/>
      <c r="D5" s="50"/>
      <c r="E5" s="51"/>
      <c r="F5" s="47"/>
      <c r="G5" s="42"/>
      <c r="H5" s="48" t="s">
        <v>16</v>
      </c>
      <c r="I5" s="48"/>
      <c r="J5" s="48"/>
      <c r="K5" s="52"/>
      <c r="L5" s="48" t="s">
        <v>17</v>
      </c>
      <c r="M5" s="48"/>
      <c r="N5" s="48"/>
      <c r="O5" s="42"/>
      <c r="P5" s="106"/>
      <c r="Q5" s="112"/>
      <c r="R5" s="112"/>
      <c r="S5" s="112"/>
      <c r="T5" s="112"/>
      <c r="U5" s="117"/>
      <c r="V5" s="117" t="s">
        <v>18</v>
      </c>
      <c r="W5" s="117" t="s">
        <v>19</v>
      </c>
      <c r="Y5" s="119"/>
      <c r="Z5" s="112"/>
    </row>
    <row r="6" s="1" customFormat="1" ht="21" customHeight="1" spans="1:26">
      <c r="A6" s="43" t="s">
        <v>20</v>
      </c>
      <c r="B6" s="53"/>
      <c r="C6" s="54"/>
      <c r="D6" s="54"/>
      <c r="E6" s="55"/>
      <c r="F6" s="56"/>
      <c r="G6" s="42"/>
      <c r="H6" s="48"/>
      <c r="I6" s="48"/>
      <c r="J6" s="48"/>
      <c r="K6" s="52"/>
      <c r="L6" s="48"/>
      <c r="M6" s="48"/>
      <c r="N6" s="48"/>
      <c r="O6" s="42"/>
      <c r="P6" s="106"/>
      <c r="Q6" s="112"/>
      <c r="R6" s="112"/>
      <c r="S6" s="112"/>
      <c r="T6" s="112"/>
      <c r="U6" s="117"/>
      <c r="V6" s="117" t="s">
        <v>21</v>
      </c>
      <c r="W6" s="117" t="s">
        <v>22</v>
      </c>
      <c r="Y6" s="119"/>
      <c r="Z6" s="112"/>
    </row>
    <row r="7" s="1" customFormat="1" ht="21" customHeight="1" spans="1:26">
      <c r="A7" s="43" t="s">
        <v>23</v>
      </c>
      <c r="B7" s="53" t="s">
        <v>24</v>
      </c>
      <c r="C7" s="54"/>
      <c r="D7" s="54"/>
      <c r="E7" s="55"/>
      <c r="F7" s="56"/>
      <c r="G7" s="42"/>
      <c r="H7" s="48"/>
      <c r="I7" s="48"/>
      <c r="J7" s="48"/>
      <c r="K7" s="52"/>
      <c r="L7" s="48"/>
      <c r="M7" s="48"/>
      <c r="N7" s="48"/>
      <c r="O7" s="42"/>
      <c r="P7" s="106"/>
      <c r="Q7" s="112"/>
      <c r="R7" s="112"/>
      <c r="S7" s="112"/>
      <c r="T7" s="112"/>
      <c r="U7" s="117"/>
      <c r="V7" s="112"/>
      <c r="W7" s="112"/>
      <c r="Y7" s="119"/>
      <c r="Z7" s="112"/>
    </row>
    <row r="8" s="1" customFormat="1" ht="38" customHeight="1" spans="1:26">
      <c r="A8" s="43" t="s">
        <v>25</v>
      </c>
      <c r="B8" s="57"/>
      <c r="C8" s="58"/>
      <c r="D8" s="58"/>
      <c r="E8" s="59"/>
      <c r="F8" s="56"/>
      <c r="G8" s="42"/>
      <c r="H8" s="60"/>
      <c r="I8" s="60"/>
      <c r="J8" s="60"/>
      <c r="K8" s="108"/>
      <c r="L8" s="60"/>
      <c r="M8" s="60"/>
      <c r="N8" s="60"/>
      <c r="O8" s="42"/>
      <c r="P8" s="106"/>
      <c r="Q8" s="112"/>
      <c r="R8" s="112"/>
      <c r="S8" s="112"/>
      <c r="T8" s="112"/>
      <c r="U8" s="117"/>
      <c r="V8" s="112"/>
      <c r="W8" s="112"/>
      <c r="Y8" s="119"/>
      <c r="Z8" s="112"/>
    </row>
    <row r="9" s="1" customFormat="1" ht="21" customHeight="1" spans="1:26">
      <c r="A9" s="43" t="s">
        <v>26</v>
      </c>
      <c r="B9" s="61"/>
      <c r="C9" s="62" t="s">
        <v>27</v>
      </c>
      <c r="D9" s="61"/>
      <c r="E9" s="61"/>
      <c r="F9" s="63"/>
      <c r="G9" s="2"/>
      <c r="H9" s="2"/>
      <c r="M9" s="2"/>
      <c r="N9" s="2"/>
      <c r="O9" s="2"/>
      <c r="P9" s="63"/>
      <c r="Q9" s="112"/>
      <c r="R9" s="112"/>
      <c r="S9" s="112"/>
      <c r="T9" s="112"/>
      <c r="U9" s="117"/>
      <c r="Y9" s="119"/>
      <c r="Z9" s="112"/>
    </row>
    <row r="10" s="1" customFormat="1" ht="66" customHeight="1" spans="1:26">
      <c r="A10" s="43" t="s">
        <v>28</v>
      </c>
      <c r="B10" s="64" t="s">
        <v>29</v>
      </c>
      <c r="C10" s="65"/>
      <c r="D10" s="65"/>
      <c r="E10" s="66"/>
      <c r="F10" s="63"/>
      <c r="G10" s="2"/>
      <c r="H10" s="2"/>
      <c r="I10" s="109" t="s">
        <v>30</v>
      </c>
      <c r="J10" s="110"/>
      <c r="K10" s="63"/>
      <c r="L10" s="63"/>
      <c r="M10" s="2"/>
      <c r="N10" s="2"/>
      <c r="O10" s="2"/>
      <c r="P10" s="63"/>
      <c r="Q10" s="112"/>
      <c r="R10" s="112"/>
      <c r="S10" s="112"/>
      <c r="T10" s="112"/>
      <c r="U10" s="117"/>
      <c r="Y10" s="119"/>
      <c r="Z10" s="112"/>
    </row>
    <row r="11" s="1" customFormat="1" ht="22.95" customHeight="1" spans="1:26">
      <c r="A11" s="43" t="s">
        <v>31</v>
      </c>
      <c r="B11" s="67" t="s">
        <v>32</v>
      </c>
      <c r="C11" s="68"/>
      <c r="D11" s="68"/>
      <c r="E11" s="69"/>
      <c r="F11" s="63"/>
      <c r="G11" s="63"/>
      <c r="H11" s="2"/>
      <c r="I11" s="111"/>
      <c r="J11" s="112" t="s">
        <v>33</v>
      </c>
      <c r="K11" s="63"/>
      <c r="L11" s="63"/>
      <c r="M11" s="63"/>
      <c r="N11" s="63"/>
      <c r="O11" s="63"/>
      <c r="P11" s="63"/>
      <c r="Q11" s="112"/>
      <c r="R11" s="112"/>
      <c r="S11" s="112"/>
      <c r="T11" s="112"/>
      <c r="U11" s="118"/>
      <c r="V11" s="118"/>
      <c r="W11" s="118"/>
      <c r="X11" s="112"/>
      <c r="Y11" s="112"/>
      <c r="Z11" s="112"/>
    </row>
    <row r="12" s="1" customFormat="1" ht="47.4" customHeight="1" spans="1:26">
      <c r="A12" s="43" t="s">
        <v>34</v>
      </c>
      <c r="B12" s="70" t="s">
        <v>35</v>
      </c>
      <c r="C12" s="68"/>
      <c r="D12" s="68"/>
      <c r="E12" s="69"/>
      <c r="F12" s="71"/>
      <c r="G12" s="63"/>
      <c r="H12" s="2"/>
      <c r="I12" s="113"/>
      <c r="J12" s="112" t="s">
        <v>36</v>
      </c>
      <c r="K12" s="2"/>
      <c r="L12" s="2"/>
      <c r="M12" s="63"/>
      <c r="N12" s="63"/>
      <c r="O12" s="63"/>
      <c r="P12" s="63"/>
      <c r="Q12" s="112"/>
      <c r="R12" s="112"/>
      <c r="S12" s="112"/>
      <c r="T12" s="112"/>
      <c r="U12" s="112"/>
      <c r="V12" s="112"/>
      <c r="W12" s="112"/>
      <c r="X12" s="112"/>
      <c r="Y12" s="112"/>
      <c r="Z12" s="112"/>
    </row>
    <row r="13" s="1" customFormat="1" ht="35.4" customHeight="1" spans="1:26">
      <c r="A13" s="43" t="s">
        <v>37</v>
      </c>
      <c r="B13" s="70" t="str">
        <f>IFERROR(VLOOKUP(B12,V1:W6,2),"")</f>
        <v> Agilent 6890N</v>
      </c>
      <c r="C13" s="68"/>
      <c r="D13" s="68"/>
      <c r="E13" s="69"/>
      <c r="F13" s="72" t="s">
        <v>38</v>
      </c>
      <c r="G13" s="63"/>
      <c r="H13" s="2"/>
      <c r="I13" s="114"/>
      <c r="J13" s="112" t="s">
        <v>39</v>
      </c>
      <c r="K13" s="2"/>
      <c r="L13" s="2"/>
      <c r="M13" s="63"/>
      <c r="N13" s="63"/>
      <c r="O13" s="63"/>
      <c r="P13" s="63"/>
      <c r="Q13" s="112"/>
      <c r="R13" s="112"/>
      <c r="S13" s="112"/>
      <c r="T13" s="112"/>
      <c r="U13" s="112"/>
      <c r="V13" s="112"/>
      <c r="W13" s="112"/>
      <c r="X13" s="112"/>
      <c r="Y13" s="112"/>
      <c r="Z13" s="112"/>
    </row>
    <row r="14" s="1" customFormat="1" ht="25.95" customHeight="1" spans="1:26">
      <c r="A14" s="43" t="s">
        <v>40</v>
      </c>
      <c r="B14" s="67"/>
      <c r="C14" s="73"/>
      <c r="D14" s="73"/>
      <c r="E14" s="74"/>
      <c r="F14" s="72" t="s">
        <v>41</v>
      </c>
      <c r="G14" s="63"/>
      <c r="H14" s="2"/>
      <c r="I14" s="115"/>
      <c r="J14" s="112"/>
      <c r="K14" s="2"/>
      <c r="L14" s="2"/>
      <c r="M14" s="63"/>
      <c r="N14" s="63"/>
      <c r="O14" s="63"/>
      <c r="P14" s="63"/>
      <c r="Q14" s="112"/>
      <c r="R14" s="112"/>
      <c r="S14" s="112"/>
      <c r="T14" s="112"/>
      <c r="U14" s="112"/>
      <c r="V14" s="112"/>
      <c r="W14" s="112"/>
      <c r="X14" s="112"/>
      <c r="Y14" s="112"/>
      <c r="Z14" s="112"/>
    </row>
    <row r="15" ht="25.35" customHeight="1" spans="1:26">
      <c r="A15" s="75" t="s">
        <v>42</v>
      </c>
      <c r="B15" s="76">
        <v>1</v>
      </c>
      <c r="C15" s="77"/>
      <c r="D15" s="77"/>
      <c r="E15" s="78"/>
      <c r="F15" s="72" t="s">
        <v>43</v>
      </c>
      <c r="G15" s="63"/>
      <c r="I15" s="115"/>
      <c r="J15" s="112"/>
      <c r="M15" s="63"/>
      <c r="N15" s="63"/>
      <c r="O15" s="63"/>
      <c r="P15" s="63"/>
      <c r="Q15" s="120"/>
      <c r="R15" s="120"/>
      <c r="S15" s="120"/>
      <c r="T15" s="120"/>
      <c r="U15" s="120"/>
      <c r="V15" s="120"/>
      <c r="W15" s="120"/>
      <c r="X15" s="120"/>
      <c r="Y15" s="120"/>
      <c r="Z15" s="120"/>
    </row>
    <row r="16" ht="56.4" customHeight="1" spans="1:16">
      <c r="A16" s="79" t="s">
        <v>44</v>
      </c>
      <c r="B16" s="75" t="s">
        <v>45</v>
      </c>
      <c r="C16" s="80" t="s">
        <v>41</v>
      </c>
      <c r="D16" s="75" t="s">
        <v>46</v>
      </c>
      <c r="E16" s="25">
        <v>300</v>
      </c>
      <c r="F16" s="81" t="s">
        <v>47</v>
      </c>
      <c r="G16" s="82"/>
      <c r="H16" s="38"/>
      <c r="I16" s="38"/>
      <c r="J16" s="38"/>
      <c r="K16" s="38"/>
      <c r="L16" s="82"/>
      <c r="M16" s="82"/>
      <c r="N16" s="82"/>
      <c r="O16" s="82"/>
      <c r="P16" s="82"/>
    </row>
    <row r="17" ht="48.6" customHeight="1" spans="1:6">
      <c r="A17" s="83"/>
      <c r="B17" s="75" t="s">
        <v>48</v>
      </c>
      <c r="C17" s="80" t="s">
        <v>49</v>
      </c>
      <c r="D17" s="75" t="s">
        <v>50</v>
      </c>
      <c r="E17" s="25">
        <v>260</v>
      </c>
      <c r="F17" s="84" t="s">
        <v>51</v>
      </c>
    </row>
    <row r="18" ht="25.2" customHeight="1" spans="1:5">
      <c r="A18" s="83"/>
      <c r="B18" s="75" t="s">
        <v>52</v>
      </c>
      <c r="C18" s="25">
        <v>0.9</v>
      </c>
      <c r="D18" s="75" t="s">
        <v>53</v>
      </c>
      <c r="E18" s="85">
        <v>1</v>
      </c>
    </row>
    <row r="19" ht="43.2" customHeight="1" spans="1:5">
      <c r="A19" s="86"/>
      <c r="B19" s="75" t="s">
        <v>54</v>
      </c>
      <c r="C19" s="87" t="s">
        <v>55</v>
      </c>
      <c r="D19" s="88"/>
      <c r="E19" s="89"/>
    </row>
    <row r="20" ht="112.2" customHeight="1" spans="1:5">
      <c r="A20" s="90" t="s">
        <v>56</v>
      </c>
      <c r="B20" s="91" t="s">
        <v>57</v>
      </c>
      <c r="C20" s="91"/>
      <c r="D20" s="91" t="s">
        <v>58</v>
      </c>
      <c r="E20" s="92"/>
    </row>
    <row r="21" s="38" customFormat="1" ht="38.25" customHeight="1" spans="1:16">
      <c r="A21" s="93"/>
      <c r="B21" s="91" t="s">
        <v>59</v>
      </c>
      <c r="C21" s="94"/>
      <c r="D21" s="91" t="s">
        <v>60</v>
      </c>
      <c r="E21" s="9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8" customFormat="1" ht="26.25" customHeight="1" spans="1:16">
      <c r="A22" s="95" t="s">
        <v>61</v>
      </c>
      <c r="B22" s="96">
        <v>0</v>
      </c>
      <c r="C22" s="97"/>
      <c r="D22" s="97"/>
      <c r="E22" s="98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3.45" customHeight="1" spans="1:5">
      <c r="A23" s="99" t="s">
        <v>62</v>
      </c>
      <c r="B23" s="100" t="s">
        <v>63</v>
      </c>
      <c r="C23" s="101"/>
      <c r="D23" s="101"/>
      <c r="E23" s="102"/>
    </row>
    <row r="24" customHeight="1" spans="1:5">
      <c r="A24" s="103" t="s">
        <v>64</v>
      </c>
      <c r="B24" s="104"/>
      <c r="C24" s="104"/>
      <c r="D24" s="104"/>
      <c r="E24" s="105"/>
    </row>
    <row r="25" customHeight="1" spans="1:5">
      <c r="A25" s="43" t="s">
        <v>65</v>
      </c>
      <c r="B25" s="3"/>
      <c r="C25" s="3"/>
      <c r="D25" s="3"/>
      <c r="E25" s="3"/>
    </row>
    <row r="26" customHeight="1" spans="1:5">
      <c r="A26" s="43" t="s">
        <v>66</v>
      </c>
      <c r="B26" s="3"/>
      <c r="C26" s="3"/>
      <c r="D26" s="3"/>
      <c r="E26" s="3"/>
    </row>
    <row r="27" customHeight="1" spans="1:5">
      <c r="A27" s="43" t="s">
        <v>67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2:E12">
      <formula1>$V$1:$V$6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C373"/>
  <sheetViews>
    <sheetView workbookViewId="0">
      <selection activeCell="L7" sqref="L7"/>
    </sheetView>
  </sheetViews>
  <sheetFormatPr defaultColWidth="9" defaultRowHeight="13.8"/>
  <cols>
    <col min="1" max="1" width="9" style="2"/>
    <col min="2" max="2" width="15.1111111111111" style="3" customWidth="1"/>
    <col min="3" max="5" width="12.4444444444444" style="4" customWidth="1"/>
    <col min="6" max="6" width="14.1111111111111" style="5" customWidth="1"/>
    <col min="7" max="7" width="13.7777777777778" style="5" customWidth="1"/>
    <col min="8" max="8" width="11.4444444444444" style="5" customWidth="1"/>
    <col min="9" max="9" width="13.7777777777778" style="5" customWidth="1"/>
    <col min="10" max="10" width="12.4444444444444" style="6" customWidth="1"/>
    <col min="11" max="15" width="11.3333333333333" style="5" customWidth="1"/>
    <col min="16" max="16" width="12.4444444444444" style="4" customWidth="1"/>
    <col min="17" max="16384" width="9" style="2"/>
  </cols>
  <sheetData>
    <row r="1" ht="20.25" customHeight="1" spans="1:16">
      <c r="A1" s="7" t="s">
        <v>68</v>
      </c>
      <c r="B1" s="7"/>
      <c r="C1" s="7"/>
      <c r="D1" s="7"/>
      <c r="E1" s="7"/>
      <c r="F1" s="7"/>
      <c r="G1" s="7"/>
      <c r="H1" s="7"/>
      <c r="I1" s="7"/>
      <c r="J1" s="7"/>
      <c r="K1" s="26"/>
      <c r="L1" s="26"/>
      <c r="M1" s="26"/>
      <c r="N1" s="26"/>
      <c r="O1" s="26"/>
      <c r="P1" s="27"/>
    </row>
    <row r="2" s="1" customFormat="1" ht="34.2" customHeight="1" spans="1:29">
      <c r="A2" s="8" t="s">
        <v>69</v>
      </c>
      <c r="B2" s="8" t="s">
        <v>70</v>
      </c>
      <c r="C2" s="9" t="s">
        <v>71</v>
      </c>
      <c r="D2" s="9" t="s">
        <v>72</v>
      </c>
      <c r="E2" s="10" t="s">
        <v>73</v>
      </c>
      <c r="F2" s="11"/>
      <c r="G2" s="12"/>
      <c r="H2" s="10" t="s">
        <v>74</v>
      </c>
      <c r="I2" s="12"/>
      <c r="J2" s="28" t="s">
        <v>75</v>
      </c>
      <c r="K2" s="29" t="s">
        <v>76</v>
      </c>
      <c r="L2" s="29"/>
      <c r="M2" s="29"/>
      <c r="N2" s="29"/>
      <c r="O2" s="29"/>
      <c r="P2" s="30" t="s">
        <v>77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="1" customFormat="1" ht="27.6" customHeight="1" spans="1:29">
      <c r="A3" s="13"/>
      <c r="B3" s="13"/>
      <c r="C3" s="14"/>
      <c r="D3" s="14"/>
      <c r="E3" s="15" t="s">
        <v>78</v>
      </c>
      <c r="F3" s="16"/>
      <c r="G3" s="17" t="s">
        <v>79</v>
      </c>
      <c r="H3" s="18" t="s">
        <v>80</v>
      </c>
      <c r="I3" s="18" t="s">
        <v>81</v>
      </c>
      <c r="J3" s="31"/>
      <c r="K3" s="29" t="s">
        <v>82</v>
      </c>
      <c r="L3" s="32" t="s">
        <v>83</v>
      </c>
      <c r="M3" s="29" t="s">
        <v>84</v>
      </c>
      <c r="N3" s="29" t="s">
        <v>85</v>
      </c>
      <c r="O3" s="33" t="s">
        <v>86</v>
      </c>
      <c r="P3" s="30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="1" customFormat="1" ht="44.4" customHeight="1" spans="1:29">
      <c r="A4" s="19"/>
      <c r="B4" s="19"/>
      <c r="C4" s="20"/>
      <c r="D4" s="20"/>
      <c r="E4" s="21" t="s">
        <v>87</v>
      </c>
      <c r="F4" s="22" t="s">
        <v>88</v>
      </c>
      <c r="G4" s="23"/>
      <c r="H4" s="24"/>
      <c r="I4" s="24"/>
      <c r="J4" s="34"/>
      <c r="K4" s="29"/>
      <c r="L4" s="35"/>
      <c r="M4" s="36"/>
      <c r="N4" s="36"/>
      <c r="O4" s="37"/>
      <c r="P4" s="30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ht="20.25" customHeight="1" spans="1:9">
      <c r="A5" s="3"/>
      <c r="F5" s="4"/>
      <c r="G5" s="25" t="str">
        <f>IFERROR(IF(ISBLANK(H5),"",IF(I5="ND","否","是")),"")</f>
        <v/>
      </c>
      <c r="H5" s="4"/>
      <c r="I5" s="4" t="str">
        <f>IFERROR(IF(H5="ND","ND",XiuYue((((H5-基础页!$B$22)*基础页!$B$15/(C5*(1-J5%)))),3,-1,9999)),"")</f>
        <v/>
      </c>
    </row>
    <row r="6" ht="20.25" customHeight="1" spans="1:9">
      <c r="A6" s="3"/>
      <c r="F6" s="4"/>
      <c r="G6" s="25" t="str">
        <f t="shared" ref="G6:G69" si="0">IFERROR(IF(ISBLANK(H6),"",IF(I6="ND","否","是")),"")</f>
        <v/>
      </c>
      <c r="H6" s="4"/>
      <c r="I6" s="4" t="str">
        <f>IFERROR(IF(H6="ND","ND",XiuYue((((H6-基础页!$B$22)*基础页!$B$15/(C6*(1-J6%)))),3,-1,9999)),"")</f>
        <v/>
      </c>
    </row>
    <row r="7" ht="20.25" customHeight="1" spans="1:9">
      <c r="A7" s="3"/>
      <c r="F7" s="4"/>
      <c r="G7" s="25" t="str">
        <f t="shared" si="0"/>
        <v/>
      </c>
      <c r="H7" s="4"/>
      <c r="I7" s="4" t="str">
        <f>IFERROR(IF(H7="ND","ND",XiuYue((((H7-基础页!$B$22)*基础页!$B$15/(C7*(1-J7%)))),3,-1,9999)),"")</f>
        <v/>
      </c>
    </row>
    <row r="8" ht="20.25" customHeight="1" spans="1:9">
      <c r="A8" s="3"/>
      <c r="F8" s="4"/>
      <c r="G8" s="25" t="str">
        <f t="shared" si="0"/>
        <v/>
      </c>
      <c r="H8" s="4"/>
      <c r="I8" s="4" t="str">
        <f>IFERROR(IF(H8="ND","ND",XiuYue((((H8-基础页!$B$22)*基础页!$B$15/(C8*(1-J8%)))),3,-1,9999)),"")</f>
        <v/>
      </c>
    </row>
    <row r="9" ht="20.25" customHeight="1" spans="1:9">
      <c r="A9" s="3"/>
      <c r="F9" s="4"/>
      <c r="G9" s="25" t="str">
        <f t="shared" si="0"/>
        <v/>
      </c>
      <c r="H9" s="4"/>
      <c r="I9" s="4" t="str">
        <f>IFERROR(IF(H9="ND","ND",XiuYue((((H9-基础页!$B$22)*基础页!$B$15/(C9*(1-J9%)))),3,-1,9999)),"")</f>
        <v/>
      </c>
    </row>
    <row r="10" ht="20.25" customHeight="1" spans="1:9">
      <c r="A10" s="3"/>
      <c r="F10" s="4"/>
      <c r="G10" s="25" t="str">
        <f t="shared" si="0"/>
        <v/>
      </c>
      <c r="H10" s="4"/>
      <c r="I10" s="4" t="str">
        <f>IFERROR(IF(H10="ND","ND",XiuYue((((H10-基础页!$B$22)*基础页!$B$15/(C10*(1-J10%)))),3,-1,9999)),"")</f>
        <v/>
      </c>
    </row>
    <row r="11" ht="20.25" customHeight="1" spans="1:9">
      <c r="A11" s="3"/>
      <c r="F11" s="4"/>
      <c r="G11" s="25" t="str">
        <f t="shared" si="0"/>
        <v/>
      </c>
      <c r="H11" s="4"/>
      <c r="I11" s="4" t="str">
        <f>IFERROR(IF(H11="ND","ND",XiuYue((((H11-基础页!$B$22)*基础页!$B$15/(C11*(1-J11%)))),3,-1,9999)),"")</f>
        <v/>
      </c>
    </row>
    <row r="12" ht="20.25" customHeight="1" spans="1:9">
      <c r="A12" s="3"/>
      <c r="F12" s="4"/>
      <c r="G12" s="25" t="str">
        <f t="shared" si="0"/>
        <v/>
      </c>
      <c r="H12" s="4"/>
      <c r="I12" s="4" t="str">
        <f>IFERROR(IF(H12="ND","ND",XiuYue((((H12-基础页!$B$22)*基础页!$B$15/(C12*(1-J12%)))),3,-1,9999)),"")</f>
        <v/>
      </c>
    </row>
    <row r="13" ht="20.25" customHeight="1" spans="1:9">
      <c r="A13" s="3"/>
      <c r="F13" s="4"/>
      <c r="G13" s="25" t="str">
        <f t="shared" si="0"/>
        <v/>
      </c>
      <c r="H13" s="4"/>
      <c r="I13" s="4" t="str">
        <f>IFERROR(IF(H13="ND","ND",XiuYue((((H13-基础页!$B$22)*基础页!$B$15/(C13*(1-J13%)))),3,-1,9999)),"")</f>
        <v/>
      </c>
    </row>
    <row r="14" ht="20.25" customHeight="1" spans="1:9">
      <c r="A14" s="3"/>
      <c r="F14" s="4"/>
      <c r="G14" s="25" t="str">
        <f t="shared" si="0"/>
        <v/>
      </c>
      <c r="H14" s="4"/>
      <c r="I14" s="4" t="str">
        <f>IFERROR(IF(H14="ND","ND",XiuYue((((H14-基础页!$B$22)*基础页!$B$15/(C14*(1-J14%)))),3,-1,9999)),"")</f>
        <v/>
      </c>
    </row>
    <row r="15" ht="20.25" customHeight="1" spans="1:9">
      <c r="A15" s="3"/>
      <c r="F15" s="4"/>
      <c r="G15" s="25" t="str">
        <f t="shared" si="0"/>
        <v/>
      </c>
      <c r="H15" s="4"/>
      <c r="I15" s="4" t="str">
        <f>IFERROR(IF(H15="ND","ND",XiuYue((((H15-基础页!$B$22)*基础页!$B$15/(C15*(1-J15%)))),3,-1,9999)),"")</f>
        <v/>
      </c>
    </row>
    <row r="16" ht="20.25" customHeight="1" spans="1:9">
      <c r="A16" s="3"/>
      <c r="F16" s="4"/>
      <c r="G16" s="25" t="str">
        <f t="shared" si="0"/>
        <v/>
      </c>
      <c r="H16" s="4"/>
      <c r="I16" s="4" t="str">
        <f>IFERROR(IF(H16="ND","ND",XiuYue((((H16-基础页!$B$22)*基础页!$B$15/(C16*(1-J16%)))),3,-1,9999)),"")</f>
        <v/>
      </c>
    </row>
    <row r="17" ht="20.25" customHeight="1" spans="1:9">
      <c r="A17" s="3"/>
      <c r="F17" s="4"/>
      <c r="G17" s="25" t="str">
        <f t="shared" si="0"/>
        <v/>
      </c>
      <c r="H17" s="4"/>
      <c r="I17" s="4" t="str">
        <f>IFERROR(IF(H17="ND","ND",XiuYue((((H17-基础页!$B$22)*基础页!$B$15/(C17*(1-J17%)))),3,-1,9999)),"")</f>
        <v/>
      </c>
    </row>
    <row r="18" ht="20.25" customHeight="1" spans="1:9">
      <c r="A18" s="3"/>
      <c r="F18" s="4"/>
      <c r="G18" s="25" t="str">
        <f t="shared" si="0"/>
        <v/>
      </c>
      <c r="H18" s="4"/>
      <c r="I18" s="4" t="str">
        <f>IFERROR(IF(H18="ND","ND",XiuYue((((H18-基础页!$B$22)*基础页!$B$15/(C18*(1-J18%)))),3,-1,9999)),"")</f>
        <v/>
      </c>
    </row>
    <row r="19" ht="20.25" customHeight="1" spans="1:9">
      <c r="A19" s="3"/>
      <c r="F19" s="4"/>
      <c r="G19" s="25" t="str">
        <f t="shared" si="0"/>
        <v/>
      </c>
      <c r="H19" s="4"/>
      <c r="I19" s="4" t="str">
        <f>IFERROR(IF(H19="ND","ND",XiuYue((((H19-基础页!$B$22)*基础页!$B$15/(C19*(1-J19%)))),3,-1,9999)),"")</f>
        <v/>
      </c>
    </row>
    <row r="20" ht="20.25" customHeight="1" spans="1:9">
      <c r="A20" s="3"/>
      <c r="F20" s="4"/>
      <c r="G20" s="25" t="str">
        <f t="shared" si="0"/>
        <v/>
      </c>
      <c r="H20" s="4"/>
      <c r="I20" s="4" t="str">
        <f>IFERROR(IF(H20="ND","ND",XiuYue((((H20-基础页!$B$22)*基础页!$B$15/(C20*(1-J20%)))),3,-1,9999)),"")</f>
        <v/>
      </c>
    </row>
    <row r="21" ht="20.25" customHeight="1" spans="1:9">
      <c r="A21" s="3"/>
      <c r="F21" s="4"/>
      <c r="G21" s="25" t="str">
        <f t="shared" si="0"/>
        <v/>
      </c>
      <c r="H21" s="4"/>
      <c r="I21" s="4" t="str">
        <f>IFERROR(IF(H21="ND","ND",XiuYue((((H21-基础页!$B$22)*基础页!$B$15/(C21*(1-J21%)))),3,-1,9999)),"")</f>
        <v/>
      </c>
    </row>
    <row r="22" ht="20.25" customHeight="1" spans="1:9">
      <c r="A22" s="3"/>
      <c r="F22" s="4"/>
      <c r="G22" s="25" t="str">
        <f t="shared" si="0"/>
        <v/>
      </c>
      <c r="H22" s="4"/>
      <c r="I22" s="4" t="str">
        <f>IFERROR(IF(H22="ND","ND",XiuYue((((H22-基础页!$B$22)*基础页!$B$15/(C22*(1-J22%)))),3,-1,9999)),"")</f>
        <v/>
      </c>
    </row>
    <row r="23" ht="20.25" customHeight="1" spans="1:9">
      <c r="A23" s="3"/>
      <c r="F23" s="4"/>
      <c r="G23" s="25" t="str">
        <f t="shared" si="0"/>
        <v/>
      </c>
      <c r="H23" s="4"/>
      <c r="I23" s="4" t="str">
        <f>IFERROR(IF(H23="ND","ND",XiuYue((((H23-基础页!$B$22)*基础页!$B$15/(C23*(1-J23%)))),3,-1,9999)),"")</f>
        <v/>
      </c>
    </row>
    <row r="24" ht="20.25" customHeight="1" spans="1:9">
      <c r="A24" s="3"/>
      <c r="F24" s="4"/>
      <c r="G24" s="25" t="str">
        <f t="shared" si="0"/>
        <v/>
      </c>
      <c r="H24" s="4"/>
      <c r="I24" s="4" t="str">
        <f>IFERROR(IF(H24="ND","ND",XiuYue((((H24-基础页!$B$22)*基础页!$B$15/(C24*(1-J24%)))),3,-1,9999)),"")</f>
        <v/>
      </c>
    </row>
    <row r="25" ht="20.25" customHeight="1" spans="1:9">
      <c r="A25" s="3"/>
      <c r="F25" s="4"/>
      <c r="G25" s="25" t="str">
        <f t="shared" si="0"/>
        <v/>
      </c>
      <c r="H25" s="4"/>
      <c r="I25" s="4" t="str">
        <f>IFERROR(IF(H25="ND","ND",XiuYue((((H25-基础页!$B$22)*基础页!$B$15/(C25*(1-J25%)))),3,-1,9999)),"")</f>
        <v/>
      </c>
    </row>
    <row r="26" ht="20.25" customHeight="1" spans="1:9">
      <c r="A26" s="3"/>
      <c r="F26" s="4"/>
      <c r="G26" s="25" t="str">
        <f t="shared" si="0"/>
        <v/>
      </c>
      <c r="H26" s="4"/>
      <c r="I26" s="4" t="str">
        <f>IFERROR(IF(H26="ND","ND",XiuYue((((H26-基础页!$B$22)*基础页!$B$15/(C26*(1-J26%)))),3,-1,9999)),"")</f>
        <v/>
      </c>
    </row>
    <row r="27" ht="20.25" customHeight="1" spans="1:9">
      <c r="A27" s="3"/>
      <c r="F27" s="4"/>
      <c r="G27" s="25" t="str">
        <f t="shared" si="0"/>
        <v/>
      </c>
      <c r="H27" s="4"/>
      <c r="I27" s="4" t="str">
        <f>IFERROR(IF(H27="ND","ND",XiuYue((((H27-基础页!$B$22)*基础页!$B$15/(C27*(1-J27%)))),3,-1,9999)),"")</f>
        <v/>
      </c>
    </row>
    <row r="28" ht="20.25" customHeight="1" spans="1:9">
      <c r="A28" s="3"/>
      <c r="F28" s="4"/>
      <c r="G28" s="25" t="str">
        <f t="shared" si="0"/>
        <v/>
      </c>
      <c r="H28" s="4"/>
      <c r="I28" s="4" t="str">
        <f>IFERROR(IF(H28="ND","ND",XiuYue((((H28-基础页!$B$22)*基础页!$B$15/(C28*(1-J28%)))),3,-1,9999)),"")</f>
        <v/>
      </c>
    </row>
    <row r="29" ht="20.25" customHeight="1" spans="1:9">
      <c r="A29" s="3"/>
      <c r="F29" s="4"/>
      <c r="G29" s="25" t="str">
        <f t="shared" si="0"/>
        <v/>
      </c>
      <c r="H29" s="4"/>
      <c r="I29" s="4" t="str">
        <f>IFERROR(IF(H29="ND","ND",XiuYue((((H29-基础页!$B$22)*基础页!$B$15/(C29*(1-J29%)))),3,-1,9999)),"")</f>
        <v/>
      </c>
    </row>
    <row r="30" ht="20.25" customHeight="1" spans="1:9">
      <c r="A30" s="3"/>
      <c r="F30" s="4"/>
      <c r="G30" s="25" t="str">
        <f t="shared" si="0"/>
        <v/>
      </c>
      <c r="H30" s="4"/>
      <c r="I30" s="4" t="str">
        <f>IFERROR(IF(H30="ND","ND",XiuYue((((H30-基础页!$B$22)*基础页!$B$15/(C30*(1-J30%)))),3,-1,9999)),"")</f>
        <v/>
      </c>
    </row>
    <row r="31" ht="20.25" customHeight="1" spans="1:9">
      <c r="A31" s="3"/>
      <c r="F31" s="4"/>
      <c r="G31" s="25" t="str">
        <f t="shared" si="0"/>
        <v/>
      </c>
      <c r="H31" s="4"/>
      <c r="I31" s="4" t="str">
        <f>IFERROR(IF(H31="ND","ND",XiuYue((((H31-基础页!$B$22)*基础页!$B$15/(C31*(1-J31%)))),3,-1,9999)),"")</f>
        <v/>
      </c>
    </row>
    <row r="32" ht="20.25" customHeight="1" spans="1:9">
      <c r="A32" s="3"/>
      <c r="F32" s="4"/>
      <c r="G32" s="25" t="str">
        <f t="shared" si="0"/>
        <v/>
      </c>
      <c r="H32" s="4"/>
      <c r="I32" s="4" t="str">
        <f>IFERROR(IF(H32="ND","ND",XiuYue((((H32-基础页!$B$22)*基础页!$B$15/(C32*(1-J32%)))),3,-1,9999)),"")</f>
        <v/>
      </c>
    </row>
    <row r="33" ht="20.25" customHeight="1" spans="1:9">
      <c r="A33" s="3"/>
      <c r="F33" s="4"/>
      <c r="G33" s="25" t="str">
        <f t="shared" si="0"/>
        <v/>
      </c>
      <c r="H33" s="4"/>
      <c r="I33" s="4" t="str">
        <f>IFERROR(IF(H33="ND","ND",XiuYue((((H33-基础页!$B$22)*基础页!$B$15/(C33*(1-J33%)))),3,-1,9999)),"")</f>
        <v/>
      </c>
    </row>
    <row r="34" ht="20.25" customHeight="1" spans="1:9">
      <c r="A34" s="3"/>
      <c r="F34" s="4"/>
      <c r="G34" s="25" t="str">
        <f t="shared" si="0"/>
        <v/>
      </c>
      <c r="H34" s="4"/>
      <c r="I34" s="4" t="str">
        <f>IFERROR(IF(H34="ND","ND",XiuYue((((H34-基础页!$B$22)*基础页!$B$15/(C34*(1-J34%)))),3,-1,9999)),"")</f>
        <v/>
      </c>
    </row>
    <row r="35" ht="20.25" customHeight="1" spans="1:9">
      <c r="A35" s="3"/>
      <c r="F35" s="4"/>
      <c r="G35" s="25" t="str">
        <f t="shared" si="0"/>
        <v/>
      </c>
      <c r="H35" s="4"/>
      <c r="I35" s="4" t="str">
        <f>IFERROR(IF(H35="ND","ND",XiuYue((((H35-基础页!$B$22)*基础页!$B$15/(C35*(1-J35%)))),3,-1,9999)),"")</f>
        <v/>
      </c>
    </row>
    <row r="36" ht="20.25" customHeight="1" spans="1:9">
      <c r="A36" s="3"/>
      <c r="F36" s="4"/>
      <c r="G36" s="25" t="str">
        <f t="shared" si="0"/>
        <v/>
      </c>
      <c r="H36" s="4"/>
      <c r="I36" s="4" t="str">
        <f>IFERROR(IF(H36="ND","ND",XiuYue((((H36-基础页!$B$22)*基础页!$B$15/(C36*(1-J36%)))),3,-1,9999)),"")</f>
        <v/>
      </c>
    </row>
    <row r="37" ht="20.25" customHeight="1" spans="1:9">
      <c r="A37" s="3"/>
      <c r="F37" s="4"/>
      <c r="G37" s="25" t="str">
        <f t="shared" si="0"/>
        <v/>
      </c>
      <c r="H37" s="4"/>
      <c r="I37" s="4" t="str">
        <f>IFERROR(IF(H37="ND","ND",XiuYue((((H37-基础页!$B$22)*基础页!$B$15/(C37*(1-J37%)))),3,-1,9999)),"")</f>
        <v/>
      </c>
    </row>
    <row r="38" ht="20.25" customHeight="1" spans="1:9">
      <c r="A38" s="3"/>
      <c r="F38" s="4"/>
      <c r="G38" s="25" t="str">
        <f t="shared" si="0"/>
        <v/>
      </c>
      <c r="H38" s="4"/>
      <c r="I38" s="4" t="str">
        <f>IFERROR(IF(H38="ND","ND",XiuYue((((H38-基础页!$B$22)*基础页!$B$15/(C38*(1-J38%)))),3,-1,9999)),"")</f>
        <v/>
      </c>
    </row>
    <row r="39" ht="20.25" customHeight="1" spans="1:9">
      <c r="A39" s="3"/>
      <c r="F39" s="4"/>
      <c r="G39" s="25" t="str">
        <f t="shared" si="0"/>
        <v/>
      </c>
      <c r="H39" s="4"/>
      <c r="I39" s="4" t="str">
        <f>IFERROR(IF(H39="ND","ND",XiuYue((((H39-基础页!$B$22)*基础页!$B$15/(C39*(1-J39%)))),3,-1,9999)),"")</f>
        <v/>
      </c>
    </row>
    <row r="40" ht="20.25" customHeight="1" spans="1:9">
      <c r="A40" s="3"/>
      <c r="F40" s="4"/>
      <c r="G40" s="25" t="str">
        <f t="shared" si="0"/>
        <v/>
      </c>
      <c r="H40" s="4"/>
      <c r="I40" s="4" t="str">
        <f>IFERROR(IF(H40="ND","ND",XiuYue((((H40-基础页!$B$22)*基础页!$B$15/(C40*(1-J40%)))),3,-1,9999)),"")</f>
        <v/>
      </c>
    </row>
    <row r="41" ht="20.25" customHeight="1" spans="1:9">
      <c r="A41" s="3"/>
      <c r="F41" s="4"/>
      <c r="G41" s="25" t="str">
        <f t="shared" si="0"/>
        <v/>
      </c>
      <c r="H41" s="4"/>
      <c r="I41" s="4" t="str">
        <f>IFERROR(IF(H41="ND","ND",XiuYue((((H41-基础页!$B$22)*基础页!$B$15/(C41*(1-J41%)))),3,-1,9999)),"")</f>
        <v/>
      </c>
    </row>
    <row r="42" ht="20.25" customHeight="1" spans="1:9">
      <c r="A42" s="3"/>
      <c r="F42" s="4"/>
      <c r="G42" s="25" t="str">
        <f t="shared" si="0"/>
        <v/>
      </c>
      <c r="H42" s="4"/>
      <c r="I42" s="4" t="str">
        <f>IFERROR(IF(H42="ND","ND",XiuYue((((H42-基础页!$B$22)*基础页!$B$15/(C42*(1-J42%)))),3,-1,9999)),"")</f>
        <v/>
      </c>
    </row>
    <row r="43" ht="20.25" customHeight="1" spans="1:9">
      <c r="A43" s="3"/>
      <c r="F43" s="4"/>
      <c r="G43" s="25" t="str">
        <f t="shared" si="0"/>
        <v/>
      </c>
      <c r="H43" s="4"/>
      <c r="I43" s="4" t="str">
        <f>IFERROR(IF(H43="ND","ND",XiuYue((((H43-基础页!$B$22)*基础页!$B$15/(C43*(1-J43%)))),3,-1,9999)),"")</f>
        <v/>
      </c>
    </row>
    <row r="44" ht="20.25" customHeight="1" spans="1:9">
      <c r="A44" s="3"/>
      <c r="F44" s="4"/>
      <c r="G44" s="25" t="str">
        <f t="shared" si="0"/>
        <v/>
      </c>
      <c r="H44" s="4"/>
      <c r="I44" s="4" t="str">
        <f>IFERROR(IF(H44="ND","ND",XiuYue((((H44-基础页!$B$22)*基础页!$B$15/(C44*(1-J44%)))),3,-1,9999)),"")</f>
        <v/>
      </c>
    </row>
    <row r="45" ht="20.25" customHeight="1" spans="1:9">
      <c r="A45" s="3"/>
      <c r="F45" s="4"/>
      <c r="G45" s="25" t="str">
        <f t="shared" si="0"/>
        <v/>
      </c>
      <c r="H45" s="4"/>
      <c r="I45" s="4" t="str">
        <f>IFERROR(IF(H45="ND","ND",XiuYue((((H45-基础页!$B$22)*基础页!$B$15/(C45*(1-J45%)))),3,-1,9999)),"")</f>
        <v/>
      </c>
    </row>
    <row r="46" ht="20.25" customHeight="1" spans="1:9">
      <c r="A46" s="3"/>
      <c r="F46" s="4"/>
      <c r="G46" s="25" t="str">
        <f t="shared" si="0"/>
        <v/>
      </c>
      <c r="H46" s="4"/>
      <c r="I46" s="4" t="str">
        <f>IFERROR(IF(H46="ND","ND",XiuYue((((H46-基础页!$B$22)*基础页!$B$15/(C46*(1-J46%)))),3,-1,9999)),"")</f>
        <v/>
      </c>
    </row>
    <row r="47" ht="20.25" customHeight="1" spans="1:9">
      <c r="A47" s="3"/>
      <c r="F47" s="4"/>
      <c r="G47" s="25" t="str">
        <f t="shared" si="0"/>
        <v/>
      </c>
      <c r="H47" s="4"/>
      <c r="I47" s="4" t="str">
        <f>IFERROR(IF(H47="ND","ND",XiuYue((((H47-基础页!$B$22)*基础页!$B$15/(C47*(1-J47%)))),3,-1,9999)),"")</f>
        <v/>
      </c>
    </row>
    <row r="48" ht="20.25" customHeight="1" spans="1:9">
      <c r="A48" s="3"/>
      <c r="F48" s="4"/>
      <c r="G48" s="25" t="str">
        <f t="shared" si="0"/>
        <v/>
      </c>
      <c r="H48" s="4"/>
      <c r="I48" s="4" t="str">
        <f>IFERROR(IF(H48="ND","ND",XiuYue((((H48-基础页!$B$22)*基础页!$B$15/(C48*(1-J48%)))),3,-1,9999)),"")</f>
        <v/>
      </c>
    </row>
    <row r="49" ht="20.25" customHeight="1" spans="1:9">
      <c r="A49" s="3"/>
      <c r="F49" s="4"/>
      <c r="G49" s="25" t="str">
        <f t="shared" si="0"/>
        <v/>
      </c>
      <c r="H49" s="4"/>
      <c r="I49" s="4" t="str">
        <f>IFERROR(IF(H49="ND","ND",XiuYue((((H49-基础页!$B$22)*基础页!$B$15/(C49*(1-J49%)))),3,-1,9999)),"")</f>
        <v/>
      </c>
    </row>
    <row r="50" ht="20.25" customHeight="1" spans="1:9">
      <c r="A50" s="3"/>
      <c r="F50" s="4"/>
      <c r="G50" s="25" t="str">
        <f t="shared" si="0"/>
        <v/>
      </c>
      <c r="H50" s="4"/>
      <c r="I50" s="4" t="str">
        <f>IFERROR(IF(H50="ND","ND",XiuYue((((H50-基础页!$B$22)*基础页!$B$15/(C50*(1-J50%)))),3,-1,9999)),"")</f>
        <v/>
      </c>
    </row>
    <row r="51" ht="20.25" customHeight="1" spans="1:9">
      <c r="A51" s="3"/>
      <c r="F51" s="4"/>
      <c r="G51" s="25" t="str">
        <f t="shared" si="0"/>
        <v/>
      </c>
      <c r="H51" s="4"/>
      <c r="I51" s="4" t="str">
        <f>IFERROR(IF(H51="ND","ND",XiuYue((((H51-基础页!$B$22)*基础页!$B$15/(C51*(1-J51%)))),3,-1,9999)),"")</f>
        <v/>
      </c>
    </row>
    <row r="52" ht="20.25" customHeight="1" spans="1:9">
      <c r="A52" s="3"/>
      <c r="F52" s="4"/>
      <c r="G52" s="25" t="str">
        <f t="shared" si="0"/>
        <v/>
      </c>
      <c r="H52" s="4"/>
      <c r="I52" s="4" t="str">
        <f>IFERROR(IF(H52="ND","ND",XiuYue((((H52-基础页!$B$22)*基础页!$B$15/(C52*(1-J52%)))),3,-1,9999)),"")</f>
        <v/>
      </c>
    </row>
    <row r="53" ht="20.25" customHeight="1" spans="1:9">
      <c r="A53" s="3"/>
      <c r="F53" s="4"/>
      <c r="G53" s="25" t="str">
        <f t="shared" si="0"/>
        <v/>
      </c>
      <c r="H53" s="4"/>
      <c r="I53" s="4" t="str">
        <f>IFERROR(IF(H53="ND","ND",XiuYue((((H53-基础页!$B$22)*基础页!$B$15/(C53*(1-J53%)))),3,-1,9999)),"")</f>
        <v/>
      </c>
    </row>
    <row r="54" ht="20.25" customHeight="1" spans="1:9">
      <c r="A54" s="3"/>
      <c r="F54" s="4"/>
      <c r="G54" s="25" t="str">
        <f t="shared" si="0"/>
        <v/>
      </c>
      <c r="H54" s="4"/>
      <c r="I54" s="4" t="str">
        <f>IFERROR(IF(H54="ND","ND",XiuYue((((H54-基础页!$B$22)*基础页!$B$15/(C54*(1-J54%)))),3,-1,9999)),"")</f>
        <v/>
      </c>
    </row>
    <row r="55" ht="20.25" customHeight="1" spans="1:9">
      <c r="A55" s="3"/>
      <c r="F55" s="4"/>
      <c r="G55" s="25" t="str">
        <f t="shared" si="0"/>
        <v/>
      </c>
      <c r="H55" s="4"/>
      <c r="I55" s="4" t="str">
        <f>IFERROR(IF(H55="ND","ND",XiuYue((((H55-基础页!$B$22)*基础页!$B$15/(C55*(1-J55%)))),3,-1,9999)),"")</f>
        <v/>
      </c>
    </row>
    <row r="56" ht="20.25" customHeight="1" spans="1:9">
      <c r="A56" s="3"/>
      <c r="F56" s="4"/>
      <c r="G56" s="25" t="str">
        <f t="shared" si="0"/>
        <v/>
      </c>
      <c r="H56" s="4"/>
      <c r="I56" s="4" t="str">
        <f>IFERROR(IF(H56="ND","ND",XiuYue((((H56-基础页!$B$22)*基础页!$B$15/(C56*(1-J56%)))),3,-1,9999)),"")</f>
        <v/>
      </c>
    </row>
    <row r="57" ht="20.25" customHeight="1" spans="1:9">
      <c r="A57" s="3"/>
      <c r="F57" s="4"/>
      <c r="G57" s="25" t="str">
        <f t="shared" si="0"/>
        <v/>
      </c>
      <c r="H57" s="4"/>
      <c r="I57" s="4" t="str">
        <f>IFERROR(IF(H57="ND","ND",XiuYue((((H57-基础页!$B$22)*基础页!$B$15/(C57*(1-J57%)))),3,-1,9999)),"")</f>
        <v/>
      </c>
    </row>
    <row r="58" ht="20.25" customHeight="1" spans="1:9">
      <c r="A58" s="3"/>
      <c r="F58" s="4"/>
      <c r="G58" s="25" t="str">
        <f t="shared" si="0"/>
        <v/>
      </c>
      <c r="H58" s="4"/>
      <c r="I58" s="4" t="str">
        <f>IFERROR(IF(H58="ND","ND",XiuYue((((H58-基础页!$B$22)*基础页!$B$15/(C58*(1-J58%)))),3,-1,9999)),"")</f>
        <v/>
      </c>
    </row>
    <row r="59" ht="20.25" customHeight="1" spans="1:9">
      <c r="A59" s="3"/>
      <c r="F59" s="4"/>
      <c r="G59" s="25" t="str">
        <f t="shared" si="0"/>
        <v/>
      </c>
      <c r="H59" s="4"/>
      <c r="I59" s="4" t="str">
        <f>IFERROR(IF(H59="ND","ND",XiuYue((((H59-基础页!$B$22)*基础页!$B$15/(C59*(1-J59%)))),3,-1,9999)),"")</f>
        <v/>
      </c>
    </row>
    <row r="60" ht="20.25" customHeight="1" spans="1:9">
      <c r="A60" s="3"/>
      <c r="F60" s="4"/>
      <c r="G60" s="25" t="str">
        <f t="shared" si="0"/>
        <v/>
      </c>
      <c r="H60" s="4"/>
      <c r="I60" s="4" t="str">
        <f>IFERROR(IF(H60="ND","ND",XiuYue((((H60-基础页!$B$22)*基础页!$B$15/(C60*(1-J60%)))),3,-1,9999)),"")</f>
        <v/>
      </c>
    </row>
    <row r="61" ht="20.25" customHeight="1" spans="1:9">
      <c r="A61" s="3"/>
      <c r="F61" s="4"/>
      <c r="G61" s="25" t="str">
        <f t="shared" si="0"/>
        <v/>
      </c>
      <c r="H61" s="4"/>
      <c r="I61" s="4" t="str">
        <f>IFERROR(IF(H61="ND","ND",XiuYue((((H61-基础页!$B$22)*基础页!$B$15/(C61*(1-J61%)))),3,-1,9999)),"")</f>
        <v/>
      </c>
    </row>
    <row r="62" ht="20.25" customHeight="1" spans="1:9">
      <c r="A62" s="3"/>
      <c r="F62" s="4"/>
      <c r="G62" s="25" t="str">
        <f t="shared" si="0"/>
        <v/>
      </c>
      <c r="H62" s="4"/>
      <c r="I62" s="4" t="str">
        <f>IFERROR(IF(H62="ND","ND",XiuYue((((H62-基础页!$B$22)*基础页!$B$15/(C62*(1-J62%)))),3,-1,9999)),"")</f>
        <v/>
      </c>
    </row>
    <row r="63" ht="20.25" customHeight="1" spans="1:9">
      <c r="A63" s="3"/>
      <c r="F63" s="4"/>
      <c r="G63" s="25" t="str">
        <f t="shared" si="0"/>
        <v/>
      </c>
      <c r="H63" s="4"/>
      <c r="I63" s="4" t="str">
        <f>IFERROR(IF(H63="ND","ND",XiuYue((((H63-基础页!$B$22)*基础页!$B$15/(C63*(1-J63%)))),3,-1,9999)),"")</f>
        <v/>
      </c>
    </row>
    <row r="64" ht="20.25" customHeight="1" spans="1:9">
      <c r="A64" s="3"/>
      <c r="F64" s="4"/>
      <c r="G64" s="25" t="str">
        <f t="shared" si="0"/>
        <v/>
      </c>
      <c r="H64" s="4"/>
      <c r="I64" s="4" t="str">
        <f>IFERROR(IF(H64="ND","ND",XiuYue((((H64-基础页!$B$22)*基础页!$B$15/(C64*(1-J64%)))),3,-1,9999)),"")</f>
        <v/>
      </c>
    </row>
    <row r="65" ht="20.25" customHeight="1" spans="1:9">
      <c r="A65" s="3"/>
      <c r="F65" s="4"/>
      <c r="G65" s="25" t="str">
        <f t="shared" si="0"/>
        <v/>
      </c>
      <c r="H65" s="4"/>
      <c r="I65" s="4" t="str">
        <f>IFERROR(IF(H65="ND","ND",XiuYue((((H65-基础页!$B$22)*基础页!$B$15/(C65*(1-J65%)))),3,-1,9999)),"")</f>
        <v/>
      </c>
    </row>
    <row r="66" ht="20.25" customHeight="1" spans="1:9">
      <c r="A66" s="3"/>
      <c r="F66" s="4"/>
      <c r="G66" s="25" t="str">
        <f t="shared" si="0"/>
        <v/>
      </c>
      <c r="H66" s="4"/>
      <c r="I66" s="4" t="str">
        <f>IFERROR(IF(H66="ND","ND",XiuYue((((H66-基础页!$B$22)*基础页!$B$15/(C66*(1-J66%)))),3,-1,9999)),"")</f>
        <v/>
      </c>
    </row>
    <row r="67" ht="20.25" customHeight="1" spans="1:9">
      <c r="A67" s="3"/>
      <c r="F67" s="4"/>
      <c r="G67" s="25" t="str">
        <f t="shared" si="0"/>
        <v/>
      </c>
      <c r="H67" s="4"/>
      <c r="I67" s="4" t="str">
        <f>IFERROR(IF(H67="ND","ND",XiuYue((((H67-基础页!$B$22)*基础页!$B$15/(C67*(1-J67%)))),3,-1,9999)),"")</f>
        <v/>
      </c>
    </row>
    <row r="68" ht="20.25" customHeight="1" spans="1:9">
      <c r="A68" s="3"/>
      <c r="F68" s="4"/>
      <c r="G68" s="25" t="str">
        <f t="shared" si="0"/>
        <v/>
      </c>
      <c r="H68" s="4"/>
      <c r="I68" s="4" t="str">
        <f>IFERROR(IF(H68="ND","ND",XiuYue((((H68-基础页!$B$22)*基础页!$B$15/(C68*(1-J68%)))),3,-1,9999)),"")</f>
        <v/>
      </c>
    </row>
    <row r="69" ht="20.25" customHeight="1" spans="1:9">
      <c r="A69" s="3"/>
      <c r="F69" s="4"/>
      <c r="G69" s="25" t="str">
        <f t="shared" si="0"/>
        <v/>
      </c>
      <c r="H69" s="4"/>
      <c r="I69" s="4" t="str">
        <f>IFERROR(IF(H69="ND","ND",XiuYue((((H69-基础页!$B$22)*基础页!$B$15/(C69*(1-J69%)))),3,-1,9999)),"")</f>
        <v/>
      </c>
    </row>
    <row r="70" ht="20.25" customHeight="1" spans="1:9">
      <c r="A70" s="3"/>
      <c r="F70" s="4"/>
      <c r="G70" s="25" t="str">
        <f t="shared" ref="G70:G133" si="1">IFERROR(IF(ISBLANK(H70),"",IF(I70="ND","否","是")),"")</f>
        <v/>
      </c>
      <c r="H70" s="4"/>
      <c r="I70" s="4" t="str">
        <f>IFERROR(IF(H70="ND","ND",XiuYue((((H70-基础页!$B$22)*基础页!$B$15/(C70*(1-J70%)))),3,-1,9999)),"")</f>
        <v/>
      </c>
    </row>
    <row r="71" ht="20.25" customHeight="1" spans="1:9">
      <c r="A71" s="3"/>
      <c r="F71" s="4"/>
      <c r="G71" s="25" t="str">
        <f t="shared" si="1"/>
        <v/>
      </c>
      <c r="H71" s="4"/>
      <c r="I71" s="4" t="str">
        <f>IFERROR(IF(H71="ND","ND",XiuYue((((H71-基础页!$B$22)*基础页!$B$15/(C71*(1-J71%)))),3,-1,9999)),"")</f>
        <v/>
      </c>
    </row>
    <row r="72" ht="20.25" customHeight="1" spans="1:9">
      <c r="A72" s="3"/>
      <c r="F72" s="4"/>
      <c r="G72" s="25" t="str">
        <f t="shared" si="1"/>
        <v/>
      </c>
      <c r="H72" s="4"/>
      <c r="I72" s="4" t="str">
        <f>IFERROR(IF(H72="ND","ND",XiuYue((((H72-基础页!$B$22)*基础页!$B$15/(C72*(1-J72%)))),3,-1,9999)),"")</f>
        <v/>
      </c>
    </row>
    <row r="73" ht="20.25" customHeight="1" spans="1:9">
      <c r="A73" s="3"/>
      <c r="F73" s="4"/>
      <c r="G73" s="25" t="str">
        <f t="shared" si="1"/>
        <v/>
      </c>
      <c r="H73" s="4"/>
      <c r="I73" s="4" t="str">
        <f>IFERROR(IF(H73="ND","ND",XiuYue((((H73-基础页!$B$22)*基础页!$B$15/(C73*(1-J73%)))),3,-1,9999)),"")</f>
        <v/>
      </c>
    </row>
    <row r="74" ht="20.25" customHeight="1" spans="1:9">
      <c r="A74" s="3"/>
      <c r="F74" s="4"/>
      <c r="G74" s="25" t="str">
        <f t="shared" si="1"/>
        <v/>
      </c>
      <c r="H74" s="4"/>
      <c r="I74" s="4" t="str">
        <f>IFERROR(IF(H74="ND","ND",XiuYue((((H74-基础页!$B$22)*基础页!$B$15/(C74*(1-J74%)))),3,-1,9999)),"")</f>
        <v/>
      </c>
    </row>
    <row r="75" ht="20.25" customHeight="1" spans="1:9">
      <c r="A75" s="3"/>
      <c r="F75" s="4"/>
      <c r="G75" s="25" t="str">
        <f t="shared" si="1"/>
        <v/>
      </c>
      <c r="H75" s="4"/>
      <c r="I75" s="4" t="str">
        <f>IFERROR(IF(H75="ND","ND",XiuYue((((H75-基础页!$B$22)*基础页!$B$15/(C75*(1-J75%)))),3,-1,9999)),"")</f>
        <v/>
      </c>
    </row>
    <row r="76" ht="20.25" customHeight="1" spans="1:9">
      <c r="A76" s="3"/>
      <c r="F76" s="4"/>
      <c r="G76" s="25" t="str">
        <f t="shared" si="1"/>
        <v/>
      </c>
      <c r="H76" s="4"/>
      <c r="I76" s="4" t="str">
        <f>IFERROR(IF(H76="ND","ND",XiuYue((((H76-基础页!$B$22)*基础页!$B$15/(C76*(1-J76%)))),3,-1,9999)),"")</f>
        <v/>
      </c>
    </row>
    <row r="77" ht="20.25" customHeight="1" spans="1:9">
      <c r="A77" s="3"/>
      <c r="F77" s="4"/>
      <c r="G77" s="25" t="str">
        <f t="shared" si="1"/>
        <v/>
      </c>
      <c r="H77" s="4"/>
      <c r="I77" s="4" t="str">
        <f>IFERROR(IF(H77="ND","ND",XiuYue((((H77-基础页!$B$22)*基础页!$B$15/(C77*(1-J77%)))),3,-1,9999)),"")</f>
        <v/>
      </c>
    </row>
    <row r="78" ht="20.25" customHeight="1" spans="1:9">
      <c r="A78" s="3"/>
      <c r="F78" s="4"/>
      <c r="G78" s="25" t="str">
        <f t="shared" si="1"/>
        <v/>
      </c>
      <c r="H78" s="4"/>
      <c r="I78" s="4" t="str">
        <f>IFERROR(IF(H78="ND","ND",XiuYue((((H78-基础页!$B$22)*基础页!$B$15/(C78*(1-J78%)))),3,-1,9999)),"")</f>
        <v/>
      </c>
    </row>
    <row r="79" ht="20.25" customHeight="1" spans="1:9">
      <c r="A79" s="3"/>
      <c r="F79" s="4"/>
      <c r="G79" s="25" t="str">
        <f t="shared" si="1"/>
        <v/>
      </c>
      <c r="H79" s="4"/>
      <c r="I79" s="4" t="str">
        <f>IFERROR(IF(H79="ND","ND",XiuYue((((H79-基础页!$B$22)*基础页!$B$15/(C79*(1-J79%)))),3,-1,9999)),"")</f>
        <v/>
      </c>
    </row>
    <row r="80" ht="20.25" customHeight="1" spans="1:9">
      <c r="A80" s="3"/>
      <c r="F80" s="4"/>
      <c r="G80" s="25" t="str">
        <f t="shared" si="1"/>
        <v/>
      </c>
      <c r="H80" s="4"/>
      <c r="I80" s="4" t="str">
        <f>IFERROR(IF(H80="ND","ND",XiuYue((((H80-基础页!$B$22)*基础页!$B$15/(C80*(1-J80%)))),3,-1,9999)),"")</f>
        <v/>
      </c>
    </row>
    <row r="81" ht="20.25" customHeight="1" spans="1:9">
      <c r="A81" s="3"/>
      <c r="F81" s="4"/>
      <c r="G81" s="25" t="str">
        <f t="shared" si="1"/>
        <v/>
      </c>
      <c r="H81" s="4"/>
      <c r="I81" s="4" t="str">
        <f>IFERROR(IF(H81="ND","ND",XiuYue((((H81-基础页!$B$22)*基础页!$B$15/(C81*(1-J81%)))),3,-1,9999)),"")</f>
        <v/>
      </c>
    </row>
    <row r="82" ht="20.25" customHeight="1" spans="1:9">
      <c r="A82" s="3"/>
      <c r="F82" s="4"/>
      <c r="G82" s="25" t="str">
        <f t="shared" si="1"/>
        <v/>
      </c>
      <c r="H82" s="4"/>
      <c r="I82" s="4" t="str">
        <f>IFERROR(IF(H82="ND","ND",XiuYue((((H82-基础页!$B$22)*基础页!$B$15/(C82*(1-J82%)))),3,-1,9999)),"")</f>
        <v/>
      </c>
    </row>
    <row r="83" ht="20.25" customHeight="1" spans="1:9">
      <c r="A83" s="3"/>
      <c r="F83" s="4"/>
      <c r="G83" s="25" t="str">
        <f t="shared" si="1"/>
        <v/>
      </c>
      <c r="H83" s="4"/>
      <c r="I83" s="4" t="str">
        <f>IFERROR(IF(H83="ND","ND",XiuYue((((H83-基础页!$B$22)*基础页!$B$15/(C83*(1-J83%)))),3,-1,9999)),"")</f>
        <v/>
      </c>
    </row>
    <row r="84" ht="20.25" customHeight="1" spans="1:9">
      <c r="A84" s="3"/>
      <c r="F84" s="4"/>
      <c r="G84" s="25" t="str">
        <f t="shared" si="1"/>
        <v/>
      </c>
      <c r="H84" s="4"/>
      <c r="I84" s="4" t="str">
        <f>IFERROR(IF(H84="ND","ND",XiuYue((((H84-基础页!$B$22)*基础页!$B$15/(C84*(1-J84%)))),3,-1,9999)),"")</f>
        <v/>
      </c>
    </row>
    <row r="85" ht="20.25" customHeight="1" spans="1:9">
      <c r="A85" s="3"/>
      <c r="F85" s="4"/>
      <c r="G85" s="25" t="str">
        <f t="shared" si="1"/>
        <v/>
      </c>
      <c r="H85" s="4"/>
      <c r="I85" s="4" t="str">
        <f>IFERROR(IF(H85="ND","ND",XiuYue((((H85-基础页!$B$22)*基础页!$B$15/(C85*(1-J85%)))),3,-1,9999)),"")</f>
        <v/>
      </c>
    </row>
    <row r="86" ht="20.25" customHeight="1" spans="1:9">
      <c r="A86" s="3"/>
      <c r="F86" s="4"/>
      <c r="G86" s="25" t="str">
        <f t="shared" si="1"/>
        <v/>
      </c>
      <c r="H86" s="4"/>
      <c r="I86" s="4" t="str">
        <f>IFERROR(IF(H86="ND","ND",XiuYue((((H86-基础页!$B$22)*基础页!$B$15/(C86*(1-J86%)))),3,-1,9999)),"")</f>
        <v/>
      </c>
    </row>
    <row r="87" ht="20.25" customHeight="1" spans="1:9">
      <c r="A87" s="3"/>
      <c r="F87" s="4"/>
      <c r="G87" s="25" t="str">
        <f t="shared" si="1"/>
        <v/>
      </c>
      <c r="H87" s="4"/>
      <c r="I87" s="4" t="str">
        <f>IFERROR(IF(H87="ND","ND",XiuYue((((H87-基础页!$B$22)*基础页!$B$15/(C87*(1-J87%)))),3,-1,9999)),"")</f>
        <v/>
      </c>
    </row>
    <row r="88" ht="20.25" customHeight="1" spans="6:9">
      <c r="F88" s="4"/>
      <c r="G88" s="25" t="str">
        <f t="shared" si="1"/>
        <v/>
      </c>
      <c r="H88" s="4"/>
      <c r="I88" s="4" t="str">
        <f>IFERROR(IF(H88="ND","ND",XiuYue((((H88-基础页!$B$22)*基础页!$B$15/(C88*(1-J88%)))),3,-1,9999)),"")</f>
        <v/>
      </c>
    </row>
    <row r="89" ht="20.25" customHeight="1" spans="6:9">
      <c r="F89" s="4"/>
      <c r="G89" s="25" t="str">
        <f t="shared" si="1"/>
        <v/>
      </c>
      <c r="H89" s="4"/>
      <c r="I89" s="4" t="str">
        <f>IFERROR(IF(H89="ND","ND",XiuYue((((H89-基础页!$B$22)*基础页!$B$15/(C89*(1-J89%)))),3,-1,9999)),"")</f>
        <v/>
      </c>
    </row>
    <row r="90" ht="20.25" customHeight="1" spans="6:9">
      <c r="F90" s="4"/>
      <c r="G90" s="25" t="str">
        <f t="shared" si="1"/>
        <v/>
      </c>
      <c r="H90" s="4"/>
      <c r="I90" s="4" t="str">
        <f>IFERROR(IF(H90="ND","ND",XiuYue((((H90-基础页!$B$22)*基础页!$B$15/(C90*(1-J90%)))),3,-1,9999)),"")</f>
        <v/>
      </c>
    </row>
    <row r="91" ht="20.25" customHeight="1" spans="6:9">
      <c r="F91" s="4"/>
      <c r="G91" s="25" t="str">
        <f t="shared" si="1"/>
        <v/>
      </c>
      <c r="H91" s="4"/>
      <c r="I91" s="4" t="str">
        <f>IFERROR(IF(H91="ND","ND",XiuYue((((H91-基础页!$B$22)*基础页!$B$15/(C91*(1-J91%)))),3,-1,9999)),"")</f>
        <v/>
      </c>
    </row>
    <row r="92" ht="20.25" customHeight="1" spans="6:9">
      <c r="F92" s="4"/>
      <c r="G92" s="25" t="str">
        <f t="shared" si="1"/>
        <v/>
      </c>
      <c r="H92" s="4"/>
      <c r="I92" s="4" t="str">
        <f>IFERROR(IF(H92="ND","ND",XiuYue((((H92-基础页!$B$22)*基础页!$B$15/(C92*(1-J92%)))),3,-1,9999)),"")</f>
        <v/>
      </c>
    </row>
    <row r="93" ht="20.25" customHeight="1" spans="6:9">
      <c r="F93" s="4"/>
      <c r="G93" s="25" t="str">
        <f t="shared" si="1"/>
        <v/>
      </c>
      <c r="H93" s="4"/>
      <c r="I93" s="4" t="str">
        <f>IFERROR(IF(H93="ND","ND",XiuYue((((H93-基础页!$B$22)*基础页!$B$15/(C93*(1-J93%)))),3,-1,9999)),"")</f>
        <v/>
      </c>
    </row>
    <row r="94" ht="20.25" customHeight="1" spans="6:9">
      <c r="F94" s="4"/>
      <c r="G94" s="25" t="str">
        <f t="shared" si="1"/>
        <v/>
      </c>
      <c r="H94" s="4"/>
      <c r="I94" s="4" t="str">
        <f>IFERROR(IF(H94="ND","ND",XiuYue((((H94-基础页!$B$22)*基础页!$B$15/(C94*(1-J94%)))),3,-1,9999)),"")</f>
        <v/>
      </c>
    </row>
    <row r="95" ht="20.25" customHeight="1" spans="6:9">
      <c r="F95" s="4"/>
      <c r="G95" s="25" t="str">
        <f t="shared" si="1"/>
        <v/>
      </c>
      <c r="H95" s="4"/>
      <c r="I95" s="4" t="str">
        <f>IFERROR(IF(H95="ND","ND",XiuYue((((H95-基础页!$B$22)*基础页!$B$15/(C95*(1-J95%)))),3,-1,9999)),"")</f>
        <v/>
      </c>
    </row>
    <row r="96" ht="20.25" customHeight="1" spans="6:9">
      <c r="F96" s="4"/>
      <c r="G96" s="25" t="str">
        <f t="shared" si="1"/>
        <v/>
      </c>
      <c r="H96" s="4"/>
      <c r="I96" s="4" t="str">
        <f>IFERROR(IF(H96="ND","ND",XiuYue((((H96-基础页!$B$22)*基础页!$B$15/(C96*(1-J96%)))),3,-1,9999)),"")</f>
        <v/>
      </c>
    </row>
    <row r="97" ht="20.25" customHeight="1" spans="6:9">
      <c r="F97" s="4"/>
      <c r="G97" s="25" t="str">
        <f t="shared" si="1"/>
        <v/>
      </c>
      <c r="H97" s="4"/>
      <c r="I97" s="4" t="str">
        <f>IFERROR(IF(H97="ND","ND",XiuYue((((H97-基础页!$B$22)*基础页!$B$15/(C97*(1-J97%)))),3,-1,9999)),"")</f>
        <v/>
      </c>
    </row>
    <row r="98" ht="20.25" customHeight="1" spans="6:9">
      <c r="F98" s="4"/>
      <c r="G98" s="25" t="str">
        <f t="shared" si="1"/>
        <v/>
      </c>
      <c r="H98" s="4"/>
      <c r="I98" s="4" t="str">
        <f>IFERROR(IF(H98="ND","ND",XiuYue((((H98-基础页!$B$22)*基础页!$B$15/(C98*(1-J98%)))),3,-1,9999)),"")</f>
        <v/>
      </c>
    </row>
    <row r="99" ht="20.25" customHeight="1" spans="6:9">
      <c r="F99" s="4"/>
      <c r="G99" s="25" t="str">
        <f t="shared" si="1"/>
        <v/>
      </c>
      <c r="H99" s="4"/>
      <c r="I99" s="4" t="str">
        <f>IFERROR(IF(H99="ND","ND",XiuYue((((H99-基础页!$B$22)*基础页!$B$15/(C99*(1-J99%)))),3,-1,9999)),"")</f>
        <v/>
      </c>
    </row>
    <row r="100" ht="20.25" customHeight="1" spans="6:9">
      <c r="F100" s="4"/>
      <c r="G100" s="25" t="str">
        <f t="shared" si="1"/>
        <v/>
      </c>
      <c r="H100" s="4"/>
      <c r="I100" s="4" t="str">
        <f>IFERROR(IF(H100="ND","ND",XiuYue((((H100-基础页!$B$22)*基础页!$B$15/(C100*(1-J100%)))),3,-1,9999)),"")</f>
        <v/>
      </c>
    </row>
    <row r="101" ht="20.25" customHeight="1" spans="6:9">
      <c r="F101" s="4"/>
      <c r="G101" s="25" t="str">
        <f t="shared" si="1"/>
        <v/>
      </c>
      <c r="H101" s="4"/>
      <c r="I101" s="4" t="str">
        <f>IFERROR(IF(H101="ND","ND",XiuYue((((H101-基础页!$B$22)*基础页!$B$15/(C101*(1-J101%)))),3,-1,9999)),"")</f>
        <v/>
      </c>
    </row>
    <row r="102" ht="20.25" customHeight="1" spans="6:9">
      <c r="F102" s="4"/>
      <c r="G102" s="25" t="str">
        <f t="shared" si="1"/>
        <v/>
      </c>
      <c r="H102" s="4"/>
      <c r="I102" s="4" t="str">
        <f>IFERROR(IF(H102="ND","ND",XiuYue((((H102-基础页!$B$22)*基础页!$B$15/(C102*(1-J102%)))),3,-1,9999)),"")</f>
        <v/>
      </c>
    </row>
    <row r="103" ht="20.25" customHeight="1" spans="6:9">
      <c r="F103" s="4"/>
      <c r="G103" s="25" t="str">
        <f t="shared" si="1"/>
        <v/>
      </c>
      <c r="H103" s="4"/>
      <c r="I103" s="4" t="str">
        <f>IFERROR(IF(H103="ND","ND",XiuYue((((H103-基础页!$B$22)*基础页!$B$15/(C103*(1-J103%)))),3,-1,9999)),"")</f>
        <v/>
      </c>
    </row>
    <row r="104" ht="20.25" customHeight="1" spans="6:9">
      <c r="F104" s="4"/>
      <c r="G104" s="25" t="str">
        <f t="shared" si="1"/>
        <v/>
      </c>
      <c r="H104" s="4"/>
      <c r="I104" s="4" t="str">
        <f>IFERROR(IF(H104="ND","ND",XiuYue((((H104-基础页!$B$22)*基础页!$B$15/(C104*(1-J104%)))),3,-1,9999)),"")</f>
        <v/>
      </c>
    </row>
    <row r="105" ht="20.25" customHeight="1" spans="6:9">
      <c r="F105" s="4"/>
      <c r="G105" s="25" t="str">
        <f t="shared" si="1"/>
        <v/>
      </c>
      <c r="H105" s="4"/>
      <c r="I105" s="4" t="str">
        <f>IFERROR(IF(H105="ND","ND",XiuYue((((H105-基础页!$B$22)*基础页!$B$15/(C105*(1-J105%)))),3,-1,9999)),"")</f>
        <v/>
      </c>
    </row>
    <row r="106" ht="20.25" customHeight="1" spans="6:9">
      <c r="F106" s="4"/>
      <c r="G106" s="25" t="str">
        <f t="shared" si="1"/>
        <v/>
      </c>
      <c r="H106" s="4"/>
      <c r="I106" s="4" t="str">
        <f>IFERROR(IF(H106="ND","ND",XiuYue((((H106-基础页!$B$22)*基础页!$B$15/(C106*(1-J106%)))),3,-1,9999)),"")</f>
        <v/>
      </c>
    </row>
    <row r="107" ht="20.25" customHeight="1" spans="6:9">
      <c r="F107" s="4"/>
      <c r="G107" s="25" t="str">
        <f t="shared" si="1"/>
        <v/>
      </c>
      <c r="H107" s="4"/>
      <c r="I107" s="4" t="str">
        <f>IFERROR(IF(H107="ND","ND",XiuYue((((H107-基础页!$B$22)*基础页!$B$15/(C107*(1-J107%)))),3,-1,9999)),"")</f>
        <v/>
      </c>
    </row>
    <row r="108" ht="20.25" customHeight="1" spans="6:9">
      <c r="F108" s="4"/>
      <c r="G108" s="25" t="str">
        <f t="shared" si="1"/>
        <v/>
      </c>
      <c r="H108" s="4"/>
      <c r="I108" s="4" t="str">
        <f>IFERROR(IF(H108="ND","ND",XiuYue((((H108-基础页!$B$22)*基础页!$B$15/(C108*(1-J108%)))),3,-1,9999)),"")</f>
        <v/>
      </c>
    </row>
    <row r="109" ht="20.25" customHeight="1" spans="6:9">
      <c r="F109" s="4"/>
      <c r="G109" s="25" t="str">
        <f t="shared" si="1"/>
        <v/>
      </c>
      <c r="H109" s="4"/>
      <c r="I109" s="4" t="str">
        <f>IFERROR(IF(H109="ND","ND",XiuYue((((H109-基础页!$B$22)*基础页!$B$15/(C109*(1-J109%)))),3,-1,9999)),"")</f>
        <v/>
      </c>
    </row>
    <row r="110" ht="20.25" customHeight="1" spans="6:9">
      <c r="F110" s="4"/>
      <c r="G110" s="25" t="str">
        <f t="shared" si="1"/>
        <v/>
      </c>
      <c r="H110" s="4"/>
      <c r="I110" s="4" t="str">
        <f>IFERROR(IF(H110="ND","ND",XiuYue((((H110-基础页!$B$22)*基础页!$B$15/(C110*(1-J110%)))),3,-1,9999)),"")</f>
        <v/>
      </c>
    </row>
    <row r="111" ht="20.25" customHeight="1" spans="6:9">
      <c r="F111" s="4"/>
      <c r="G111" s="25" t="str">
        <f t="shared" si="1"/>
        <v/>
      </c>
      <c r="H111" s="4"/>
      <c r="I111" s="4" t="str">
        <f>IFERROR(IF(H111="ND","ND",XiuYue((((H111-基础页!$B$22)*基础页!$B$15/(C111*(1-J111%)))),3,-1,9999)),"")</f>
        <v/>
      </c>
    </row>
    <row r="112" ht="20.25" customHeight="1" spans="6:9">
      <c r="F112" s="4"/>
      <c r="G112" s="25" t="str">
        <f t="shared" si="1"/>
        <v/>
      </c>
      <c r="H112" s="4"/>
      <c r="I112" s="4" t="str">
        <f>IFERROR(IF(H112="ND","ND",XiuYue((((H112-基础页!$B$22)*基础页!$B$15/(C112*(1-J112%)))),3,-1,9999)),"")</f>
        <v/>
      </c>
    </row>
    <row r="113" ht="20.25" customHeight="1" spans="6:9">
      <c r="F113" s="4"/>
      <c r="G113" s="25" t="str">
        <f t="shared" si="1"/>
        <v/>
      </c>
      <c r="H113" s="4"/>
      <c r="I113" s="4" t="str">
        <f>IFERROR(IF(H113="ND","ND",XiuYue((((H113-基础页!$B$22)*基础页!$B$15/(C113*(1-J113%)))),3,-1,9999)),"")</f>
        <v/>
      </c>
    </row>
    <row r="114" ht="20.25" customHeight="1" spans="6:9">
      <c r="F114" s="4"/>
      <c r="G114" s="25" t="str">
        <f t="shared" si="1"/>
        <v/>
      </c>
      <c r="H114" s="4"/>
      <c r="I114" s="4" t="str">
        <f>IFERROR(IF(H114="ND","ND",XiuYue((((H114-基础页!$B$22)*基础页!$B$15/(C114*(1-J114%)))),3,-1,9999)),"")</f>
        <v/>
      </c>
    </row>
    <row r="115" ht="20.25" customHeight="1" spans="6:9">
      <c r="F115" s="4"/>
      <c r="G115" s="25" t="str">
        <f t="shared" si="1"/>
        <v/>
      </c>
      <c r="H115" s="4"/>
      <c r="I115" s="4" t="str">
        <f>IFERROR(IF(H115="ND","ND",XiuYue((((H115-基础页!$B$22)*基础页!$B$15/(C115*(1-J115%)))),3,-1,9999)),"")</f>
        <v/>
      </c>
    </row>
    <row r="116" ht="20.25" customHeight="1" spans="6:9">
      <c r="F116" s="4"/>
      <c r="G116" s="25" t="str">
        <f t="shared" si="1"/>
        <v/>
      </c>
      <c r="H116" s="4"/>
      <c r="I116" s="4" t="str">
        <f>IFERROR(IF(H116="ND","ND",XiuYue((((H116-基础页!$B$22)*基础页!$B$15/(C116*(1-J116%)))),3,-1,9999)),"")</f>
        <v/>
      </c>
    </row>
    <row r="117" ht="20.25" customHeight="1" spans="6:9">
      <c r="F117" s="4"/>
      <c r="G117" s="25" t="str">
        <f t="shared" si="1"/>
        <v/>
      </c>
      <c r="H117" s="4"/>
      <c r="I117" s="4" t="str">
        <f>IFERROR(IF(H117="ND","ND",XiuYue((((H117-基础页!$B$22)*基础页!$B$15/(C117*(1-J117%)))),3,-1,9999)),"")</f>
        <v/>
      </c>
    </row>
    <row r="118" ht="20.25" customHeight="1" spans="6:9">
      <c r="F118" s="4"/>
      <c r="G118" s="25" t="str">
        <f t="shared" si="1"/>
        <v/>
      </c>
      <c r="H118" s="4"/>
      <c r="I118" s="4" t="str">
        <f>IFERROR(IF(H118="ND","ND",XiuYue((((H118-基础页!$B$22)*基础页!$B$15/(C118*(1-J118%)))),3,-1,9999)),"")</f>
        <v/>
      </c>
    </row>
    <row r="119" ht="20.25" customHeight="1" spans="6:9">
      <c r="F119" s="4"/>
      <c r="G119" s="25" t="str">
        <f t="shared" si="1"/>
        <v/>
      </c>
      <c r="H119" s="4"/>
      <c r="I119" s="4" t="str">
        <f>IFERROR(IF(H119="ND","ND",XiuYue((((H119-基础页!$B$22)*基础页!$B$15/(C119*(1-J119%)))),3,-1,9999)),"")</f>
        <v/>
      </c>
    </row>
    <row r="120" ht="20.25" customHeight="1" spans="6:9">
      <c r="F120" s="4"/>
      <c r="G120" s="25" t="str">
        <f t="shared" si="1"/>
        <v/>
      </c>
      <c r="H120" s="4"/>
      <c r="I120" s="4" t="str">
        <f>IFERROR(IF(H120="ND","ND",XiuYue((((H120-基础页!$B$22)*基础页!$B$15/(C120*(1-J120%)))),3,-1,9999)),"")</f>
        <v/>
      </c>
    </row>
    <row r="121" ht="20.25" customHeight="1" spans="6:9">
      <c r="F121" s="4"/>
      <c r="G121" s="25" t="str">
        <f t="shared" si="1"/>
        <v/>
      </c>
      <c r="H121" s="4"/>
      <c r="I121" s="4" t="str">
        <f>IFERROR(IF(H121="ND","ND",XiuYue((((H121-基础页!$B$22)*基础页!$B$15/(C121*(1-J121%)))),3,-1,9999)),"")</f>
        <v/>
      </c>
    </row>
    <row r="122" ht="20.25" customHeight="1" spans="6:9">
      <c r="F122" s="4"/>
      <c r="G122" s="25" t="str">
        <f t="shared" si="1"/>
        <v/>
      </c>
      <c r="H122" s="4"/>
      <c r="I122" s="4" t="str">
        <f>IFERROR(IF(H122="ND","ND",XiuYue((((H122-基础页!$B$22)*基础页!$B$15/(C122*(1-J122%)))),3,-1,9999)),"")</f>
        <v/>
      </c>
    </row>
    <row r="123" ht="20.25" customHeight="1" spans="6:9">
      <c r="F123" s="4"/>
      <c r="G123" s="25" t="str">
        <f t="shared" si="1"/>
        <v/>
      </c>
      <c r="H123" s="4"/>
      <c r="I123" s="4" t="str">
        <f>IFERROR(IF(H123="ND","ND",XiuYue((((H123-基础页!$B$22)*基础页!$B$15/(C123*(1-J123%)))),3,-1,9999)),"")</f>
        <v/>
      </c>
    </row>
    <row r="124" ht="20.25" customHeight="1" spans="6:9">
      <c r="F124" s="4"/>
      <c r="G124" s="25" t="str">
        <f t="shared" si="1"/>
        <v/>
      </c>
      <c r="H124" s="4"/>
      <c r="I124" s="4" t="str">
        <f>IFERROR(IF(H124="ND","ND",XiuYue((((H124-基础页!$B$22)*基础页!$B$15/(C124*(1-J124%)))),3,-1,9999)),"")</f>
        <v/>
      </c>
    </row>
    <row r="125" ht="20.25" customHeight="1" spans="6:9">
      <c r="F125" s="4"/>
      <c r="G125" s="25" t="str">
        <f t="shared" si="1"/>
        <v/>
      </c>
      <c r="H125" s="4"/>
      <c r="I125" s="4" t="str">
        <f>IFERROR(IF(H125="ND","ND",XiuYue((((H125-基础页!$B$22)*基础页!$B$15/(C125*(1-J125%)))),3,-1,9999)),"")</f>
        <v/>
      </c>
    </row>
    <row r="126" ht="20.25" customHeight="1" spans="6:9">
      <c r="F126" s="4"/>
      <c r="G126" s="25" t="str">
        <f t="shared" si="1"/>
        <v/>
      </c>
      <c r="H126" s="4"/>
      <c r="I126" s="4" t="str">
        <f>IFERROR(IF(H126="ND","ND",XiuYue((((H126-基础页!$B$22)*基础页!$B$15/(C126*(1-J126%)))),3,-1,9999)),"")</f>
        <v/>
      </c>
    </row>
    <row r="127" ht="20.25" customHeight="1" spans="6:9">
      <c r="F127" s="4"/>
      <c r="G127" s="25" t="str">
        <f t="shared" si="1"/>
        <v/>
      </c>
      <c r="H127" s="4"/>
      <c r="I127" s="4" t="str">
        <f>IFERROR(IF(H127="ND","ND",XiuYue((((H127-基础页!$B$22)*基础页!$B$15/(C127*(1-J127%)))),3,-1,9999)),"")</f>
        <v/>
      </c>
    </row>
    <row r="128" ht="20.25" customHeight="1" spans="6:9">
      <c r="F128" s="4"/>
      <c r="G128" s="25" t="str">
        <f t="shared" si="1"/>
        <v/>
      </c>
      <c r="H128" s="4"/>
      <c r="I128" s="4" t="str">
        <f>IFERROR(IF(H128="ND","ND",XiuYue((((H128-基础页!$B$22)*基础页!$B$15/(C128*(1-J128%)))),3,-1,9999)),"")</f>
        <v/>
      </c>
    </row>
    <row r="129" ht="20.25" customHeight="1" spans="6:9">
      <c r="F129" s="4"/>
      <c r="G129" s="25" t="str">
        <f t="shared" si="1"/>
        <v/>
      </c>
      <c r="H129" s="4"/>
      <c r="I129" s="4" t="str">
        <f>IFERROR(IF(H129="ND","ND",XiuYue((((H129-基础页!$B$22)*基础页!$B$15/(C129*(1-J129%)))),3,-1,9999)),"")</f>
        <v/>
      </c>
    </row>
    <row r="130" ht="20.25" customHeight="1" spans="6:9">
      <c r="F130" s="4"/>
      <c r="G130" s="25" t="str">
        <f t="shared" si="1"/>
        <v/>
      </c>
      <c r="H130" s="4"/>
      <c r="I130" s="4" t="str">
        <f>IFERROR(IF(H130="ND","ND",XiuYue((((H130-基础页!$B$22)*基础页!$B$15/(C130*(1-J130%)))),3,-1,9999)),"")</f>
        <v/>
      </c>
    </row>
    <row r="131" ht="20.25" customHeight="1" spans="6:9">
      <c r="F131" s="4"/>
      <c r="G131" s="25" t="str">
        <f t="shared" si="1"/>
        <v/>
      </c>
      <c r="H131" s="4"/>
      <c r="I131" s="4" t="str">
        <f>IFERROR(IF(H131="ND","ND",XiuYue((((H131-基础页!$B$22)*基础页!$B$15/(C131*(1-J131%)))),3,-1,9999)),"")</f>
        <v/>
      </c>
    </row>
    <row r="132" ht="20.25" customHeight="1" spans="6:9">
      <c r="F132" s="4"/>
      <c r="G132" s="25" t="str">
        <f t="shared" si="1"/>
        <v/>
      </c>
      <c r="H132" s="4"/>
      <c r="I132" s="4" t="str">
        <f>IFERROR(IF(H132="ND","ND",XiuYue((((H132-基础页!$B$22)*基础页!$B$15/(C132*(1-J132%)))),3,-1,9999)),"")</f>
        <v/>
      </c>
    </row>
    <row r="133" ht="20.25" customHeight="1" spans="6:9">
      <c r="F133" s="4"/>
      <c r="G133" s="25" t="str">
        <f t="shared" si="1"/>
        <v/>
      </c>
      <c r="H133" s="4"/>
      <c r="I133" s="4" t="str">
        <f>IFERROR(IF(H133="ND","ND",XiuYue((((H133-基础页!$B$22)*基础页!$B$15/(C133*(1-J133%)))),3,-1,9999)),"")</f>
        <v/>
      </c>
    </row>
    <row r="134" ht="20.25" customHeight="1" spans="6:9">
      <c r="F134" s="4"/>
      <c r="G134" s="25" t="str">
        <f t="shared" ref="G134:G145" si="2">IFERROR(IF(ISBLANK(H134),"",IF(I134="ND","否","是")),"")</f>
        <v/>
      </c>
      <c r="H134" s="4"/>
      <c r="I134" s="4" t="str">
        <f>IFERROR(IF(H134="ND","ND",XiuYue((((H134-基础页!$B$22)*基础页!$B$15/(C134*(1-J134%)))),3,-1,9999)),"")</f>
        <v/>
      </c>
    </row>
    <row r="135" ht="20.25" customHeight="1" spans="6:9">
      <c r="F135" s="4"/>
      <c r="G135" s="25" t="str">
        <f t="shared" si="2"/>
        <v/>
      </c>
      <c r="H135" s="4"/>
      <c r="I135" s="4" t="str">
        <f>IFERROR(IF(H135="ND","ND",XiuYue((((H135-基础页!$B$22)*基础页!$B$15/(C135*(1-J135%)))),3,-1,9999)),"")</f>
        <v/>
      </c>
    </row>
    <row r="136" ht="20.25" customHeight="1" spans="6:9">
      <c r="F136" s="4"/>
      <c r="G136" s="25" t="str">
        <f t="shared" si="2"/>
        <v/>
      </c>
      <c r="H136" s="4"/>
      <c r="I136" s="4" t="str">
        <f>IFERROR(IF(H136="ND","ND",XiuYue((((H136-基础页!$B$22)*基础页!$B$15/(C136*(1-J136%)))),3,-1,9999)),"")</f>
        <v/>
      </c>
    </row>
    <row r="137" ht="20.25" customHeight="1" spans="6:9">
      <c r="F137" s="4"/>
      <c r="G137" s="25" t="str">
        <f t="shared" si="2"/>
        <v/>
      </c>
      <c r="H137" s="4"/>
      <c r="I137" s="4" t="str">
        <f>IFERROR(IF(H137="ND","ND",XiuYue((((H137-基础页!$B$22)*基础页!$B$15/(C137*(1-J137%)))),3,-1,9999)),"")</f>
        <v/>
      </c>
    </row>
    <row r="138" ht="20.25" customHeight="1" spans="6:9">
      <c r="F138" s="4"/>
      <c r="G138" s="25" t="str">
        <f t="shared" si="2"/>
        <v/>
      </c>
      <c r="H138" s="4"/>
      <c r="I138" s="4" t="str">
        <f>IFERROR(IF(H138="ND","ND",XiuYue((((H138-基础页!$B$22)*基础页!$B$15/(C138*(1-J138%)))),3,-1,9999)),"")</f>
        <v/>
      </c>
    </row>
    <row r="139" ht="20.25" customHeight="1" spans="6:9">
      <c r="F139" s="4"/>
      <c r="G139" s="25" t="str">
        <f t="shared" si="2"/>
        <v/>
      </c>
      <c r="H139" s="4"/>
      <c r="I139" s="4" t="str">
        <f>IFERROR(IF(H139="ND","ND",XiuYue((((H139-基础页!$B$22)*基础页!$B$15/(C139*(1-J139%)))),3,-1,9999)),"")</f>
        <v/>
      </c>
    </row>
    <row r="140" ht="20.25" customHeight="1" spans="6:9">
      <c r="F140" s="4"/>
      <c r="G140" s="25" t="str">
        <f t="shared" si="2"/>
        <v/>
      </c>
      <c r="H140" s="4"/>
      <c r="I140" s="4" t="str">
        <f>IFERROR(IF(H140="ND","ND",XiuYue((((H140-基础页!$B$22)*基础页!$B$15/(C140*(1-J140%)))),3,-1,9999)),"")</f>
        <v/>
      </c>
    </row>
    <row r="141" ht="20.25" customHeight="1" spans="6:9">
      <c r="F141" s="4"/>
      <c r="G141" s="25" t="str">
        <f t="shared" si="2"/>
        <v/>
      </c>
      <c r="H141" s="4"/>
      <c r="I141" s="4" t="str">
        <f>IFERROR(IF(H141="ND","ND",XiuYue((((H141-基础页!$B$22)*基础页!$B$15/(C141*(1-J141%)))),3,-1,9999)),"")</f>
        <v/>
      </c>
    </row>
    <row r="142" ht="20.25" customHeight="1" spans="6:9">
      <c r="F142" s="4"/>
      <c r="G142" s="25" t="str">
        <f t="shared" si="2"/>
        <v/>
      </c>
      <c r="H142" s="4"/>
      <c r="I142" s="4" t="str">
        <f>IFERROR(IF(H142="ND","ND",XiuYue((((H142-基础页!$B$22)*基础页!$B$15/(C142*(1-J142%)))),3,-1,9999)),"")</f>
        <v/>
      </c>
    </row>
    <row r="143" ht="20.25" customHeight="1" spans="6:9">
      <c r="F143" s="4"/>
      <c r="G143" s="25" t="str">
        <f t="shared" si="2"/>
        <v/>
      </c>
      <c r="H143" s="4"/>
      <c r="I143" s="4" t="str">
        <f>IFERROR(IF(H143="ND","ND",XiuYue((((H143-基础页!$B$22)*基础页!$B$15/(C143*(1-J143%)))),3,-1,9999)),"")</f>
        <v/>
      </c>
    </row>
    <row r="144" ht="20.25" customHeight="1" spans="6:9">
      <c r="F144" s="4"/>
      <c r="G144" s="25" t="str">
        <f t="shared" si="2"/>
        <v/>
      </c>
      <c r="H144" s="4"/>
      <c r="I144" s="4" t="str">
        <f>IFERROR(IF(H144="ND","ND",XiuYue((((H144-基础页!$B$22)*基础页!$B$15/(C144*(1-J144%)))),3,-1,9999)),"")</f>
        <v/>
      </c>
    </row>
    <row r="145" ht="20.25" customHeight="1" spans="6:9">
      <c r="F145" s="4"/>
      <c r="G145" s="25" t="str">
        <f t="shared" si="2"/>
        <v/>
      </c>
      <c r="H145" s="4"/>
      <c r="I145" s="4" t="str">
        <f>IFERROR(IF(H145="ND","ND",XiuYue((((H145-基础页!$B$22)*基础页!$B$15/(C145*(1-J145%)))),3,-1,9999)),"")</f>
        <v/>
      </c>
    </row>
    <row r="146" ht="20.25" customHeight="1" spans="6:9">
      <c r="F146" s="4"/>
      <c r="G146" s="25"/>
      <c r="H146" s="4"/>
      <c r="I146" s="4" t="str">
        <f>IFERROR(IF(H146="ND","ND",XiuYue((((H146-基础页!$B$22)*基础页!$B$15/(C146*(1-J146%)))),3,-1,9999)),"")</f>
        <v/>
      </c>
    </row>
    <row r="147" ht="20.25" customHeight="1" spans="6:9">
      <c r="F147" s="4"/>
      <c r="G147" s="25"/>
      <c r="H147" s="4"/>
      <c r="I147" s="4" t="str">
        <f>IFERROR(IF(H147="ND","ND",XiuYue((((H147-基础页!$B$22)*基础页!$B$15/(C147*(1-J147%)))),3,-1,9999)),"")</f>
        <v/>
      </c>
    </row>
    <row r="148" ht="20.25" customHeight="1" spans="6:9">
      <c r="F148" s="4"/>
      <c r="G148" s="25"/>
      <c r="H148" s="4"/>
      <c r="I148" s="4" t="str">
        <f>IFERROR(IF(H148="ND","ND",XiuYue((((H148-基础页!$B$22)*基础页!$B$15/(C148*(1-J148%)))),3,-1,9999)),"")</f>
        <v/>
      </c>
    </row>
    <row r="149" ht="20.25" customHeight="1" spans="6:9">
      <c r="F149" s="4"/>
      <c r="G149" s="25"/>
      <c r="H149" s="4"/>
      <c r="I149" s="4" t="str">
        <f>IFERROR(IF(H149="ND","ND",XiuYue((((H149-基础页!$B$22)*基础页!$B$15/(C149*(1-J149%)))),3,-1,9999)),"")</f>
        <v/>
      </c>
    </row>
    <row r="150" ht="20.25" customHeight="1" spans="6:9">
      <c r="F150" s="4"/>
      <c r="G150" s="25"/>
      <c r="H150" s="4"/>
      <c r="I150" s="4" t="str">
        <f>IFERROR(IF(H150="ND","ND",XiuYue((((H150-基础页!$B$22)*基础页!$B$15/(C150*(1-J150%)))),3,-1,9999)),"")</f>
        <v/>
      </c>
    </row>
    <row r="151" ht="20.25" customHeight="1" spans="6:9">
      <c r="F151" s="4"/>
      <c r="G151" s="25"/>
      <c r="H151" s="4"/>
      <c r="I151" s="4" t="str">
        <f>IFERROR(IF(H151="ND","ND",XiuYue((((H151-基础页!$B$22)*基础页!$B$15/(C151*(1-J151%)))),3,-1,9999)),"")</f>
        <v/>
      </c>
    </row>
    <row r="152" ht="20.25" customHeight="1" spans="6:9">
      <c r="F152" s="4"/>
      <c r="G152" s="25"/>
      <c r="H152" s="4"/>
      <c r="I152" s="4" t="str">
        <f>IFERROR(IF(H152="ND","ND",XiuYue((((H152-基础页!$B$22)*基础页!$B$15/(C152*(1-J152%)))),3,-1,9999)),"")</f>
        <v/>
      </c>
    </row>
    <row r="153" ht="20.25" customHeight="1" spans="6:9">
      <c r="F153" s="4"/>
      <c r="G153" s="25"/>
      <c r="H153" s="4"/>
      <c r="I153" s="4" t="str">
        <f>IFERROR(IF(H153="ND","ND",XiuYue((((H153-基础页!$B$22)*基础页!$B$15/(C153*(1-J153%)))),3,-1,9999)),"")</f>
        <v/>
      </c>
    </row>
    <row r="154" ht="20.25" customHeight="1" spans="6:9">
      <c r="F154" s="4"/>
      <c r="G154" s="25"/>
      <c r="H154" s="4"/>
      <c r="I154" s="4" t="str">
        <f>IFERROR(IF(H154="ND","ND",XiuYue((((H154-基础页!$B$22)*基础页!$B$15/(C154*(1-J154%)))),3,-1,9999)),"")</f>
        <v/>
      </c>
    </row>
    <row r="155" ht="20.25" customHeight="1" spans="6:9">
      <c r="F155" s="4"/>
      <c r="G155" s="25"/>
      <c r="H155" s="4"/>
      <c r="I155" s="4" t="str">
        <f>IFERROR(IF(H155="ND","ND",XiuYue((((H155-基础页!$B$22)*基础页!$B$15/(C155*(1-J155%)))),3,-1,9999)),"")</f>
        <v/>
      </c>
    </row>
    <row r="156" ht="20.25" customHeight="1" spans="6:9">
      <c r="F156" s="4"/>
      <c r="G156" s="25"/>
      <c r="H156" s="4"/>
      <c r="I156" s="4" t="str">
        <f>IFERROR(IF(H156="ND","ND",XiuYue((((H156-基础页!$B$22)*基础页!$B$15/(C156*(1-J156%)))),3,-1,9999)),"")</f>
        <v/>
      </c>
    </row>
    <row r="157" ht="20.25" customHeight="1" spans="6:9">
      <c r="F157" s="4"/>
      <c r="G157" s="25"/>
      <c r="H157" s="4"/>
      <c r="I157" s="4" t="str">
        <f>IFERROR(IF(H157="ND","ND",XiuYue((((H157-基础页!$B$22)*基础页!$B$15/(C157*(1-J157%)))),3,-1,9999)),"")</f>
        <v/>
      </c>
    </row>
    <row r="158" ht="20.25" customHeight="1" spans="6:9">
      <c r="F158" s="4"/>
      <c r="G158" s="25"/>
      <c r="H158" s="4"/>
      <c r="I158" s="4" t="str">
        <f>IFERROR(IF(H158="ND","ND",XiuYue((((H158-基础页!$B$22)*基础页!$B$15/(C158*(1-J158%)))),3,-1,9999)),"")</f>
        <v/>
      </c>
    </row>
    <row r="159" ht="20.25" customHeight="1" spans="6:9">
      <c r="F159" s="4"/>
      <c r="G159" s="25"/>
      <c r="H159" s="4"/>
      <c r="I159" s="4" t="str">
        <f>IFERROR(IF(H159="ND","ND",XiuYue((((H159-基础页!$B$22)*基础页!$B$15/(C159*(1-J159%)))),3,-1,9999)),"")</f>
        <v/>
      </c>
    </row>
    <row r="160" ht="20.25" customHeight="1" spans="6:9">
      <c r="F160" s="4"/>
      <c r="G160" s="25"/>
      <c r="H160" s="4"/>
      <c r="I160" s="4" t="str">
        <f>IFERROR(IF(H160="ND","ND",XiuYue((((H160-基础页!$B$22)*基础页!$B$15/(C160*(1-J160%)))),3,-1,9999)),"")</f>
        <v/>
      </c>
    </row>
    <row r="161" ht="20.25" customHeight="1" spans="6:9">
      <c r="F161" s="4"/>
      <c r="G161" s="25"/>
      <c r="H161" s="4"/>
      <c r="I161" s="4" t="str">
        <f>IFERROR(IF(H161="ND","ND",XiuYue((((H161-基础页!$B$22)*基础页!$B$15/(C161*(1-J161%)))),3,-1,9999)),"")</f>
        <v/>
      </c>
    </row>
    <row r="162" ht="20.25" customHeight="1" spans="6:9">
      <c r="F162" s="4"/>
      <c r="G162" s="25"/>
      <c r="H162" s="4"/>
      <c r="I162" s="4" t="str">
        <f>IFERROR(IF(H162="ND","ND",XiuYue((((H162-基础页!$B$22)*基础页!$B$15/(C162*(1-J162%)))),3,-1,9999)),"")</f>
        <v/>
      </c>
    </row>
    <row r="163" ht="20.25" customHeight="1" spans="6:9">
      <c r="F163" s="4"/>
      <c r="G163" s="25"/>
      <c r="H163" s="4"/>
      <c r="I163" s="4" t="str">
        <f>IFERROR(IF(H163="ND","ND",XiuYue((((H163-基础页!$B$22)*基础页!$B$15/(C163*(1-J163%)))),3,-1,9999)),"")</f>
        <v/>
      </c>
    </row>
    <row r="164" ht="20.25" customHeight="1" spans="6:9">
      <c r="F164" s="4"/>
      <c r="G164" s="25"/>
      <c r="H164" s="4"/>
      <c r="I164" s="4" t="str">
        <f>IFERROR(IF(H164="ND","ND",XiuYue((((H164-基础页!$B$22)*基础页!$B$15/(C164*(1-J164%)))),3,-1,9999)),"")</f>
        <v/>
      </c>
    </row>
    <row r="165" ht="20.25" customHeight="1" spans="6:9">
      <c r="F165" s="4"/>
      <c r="G165" s="25"/>
      <c r="H165" s="4"/>
      <c r="I165" s="4" t="str">
        <f>IFERROR(IF(H165="ND","ND",XiuYue((((H165-基础页!$B$22)*基础页!$B$15/(C165*(1-J165%)))),3,-1,9999)),"")</f>
        <v/>
      </c>
    </row>
    <row r="166" ht="20.25" customHeight="1" spans="6:9">
      <c r="F166" s="4"/>
      <c r="G166" s="25"/>
      <c r="H166" s="4"/>
      <c r="I166" s="4" t="str">
        <f>IFERROR(IF(H166="ND","ND",XiuYue((((H166-基础页!$B$22)*基础页!$B$15/(C166*(1-J166%)))),3,-1,9999)),"")</f>
        <v/>
      </c>
    </row>
    <row r="167" ht="20.25" customHeight="1" spans="6:9">
      <c r="F167" s="4"/>
      <c r="G167" s="25"/>
      <c r="H167" s="4"/>
      <c r="I167" s="4" t="str">
        <f>IFERROR(IF(H167="ND","ND",XiuYue((((H167-基础页!$B$22)*基础页!$B$15/(C167*(1-J167%)))),3,-1,9999)),"")</f>
        <v/>
      </c>
    </row>
    <row r="168" ht="20.25" customHeight="1" spans="6:9">
      <c r="F168" s="4"/>
      <c r="G168" s="25"/>
      <c r="H168" s="4"/>
      <c r="I168" s="4" t="str">
        <f>IFERROR(IF(H168="ND","ND",XiuYue((((H168-基础页!$B$22)*基础页!$B$15/(C168*(1-J168%)))),3,-1,9999)),"")</f>
        <v/>
      </c>
    </row>
    <row r="169" ht="20.25" customHeight="1" spans="6:9">
      <c r="F169" s="4"/>
      <c r="G169" s="25"/>
      <c r="H169" s="4"/>
      <c r="I169" s="4" t="str">
        <f>IFERROR(IF(H169="ND","ND",XiuYue((((H169-基础页!$B$22)*基础页!$B$15/(C169*(1-J169%)))),3,-1,9999)),"")</f>
        <v/>
      </c>
    </row>
    <row r="170" ht="20.25" customHeight="1" spans="6:9">
      <c r="F170" s="4"/>
      <c r="G170" s="25"/>
      <c r="H170" s="4"/>
      <c r="I170" s="4" t="str">
        <f>IFERROR(IF(H170="ND","ND",XiuYue((((H170-基础页!$B$22)*基础页!$B$15/(C170*(1-J170%)))),3,-1,9999)),"")</f>
        <v/>
      </c>
    </row>
    <row r="171" ht="20.25" customHeight="1" spans="6:9">
      <c r="F171" s="4"/>
      <c r="G171" s="25"/>
      <c r="H171" s="4"/>
      <c r="I171" s="4" t="str">
        <f>IFERROR(IF(H171="ND","ND",XiuYue((((H171-基础页!$B$22)*基础页!$B$15/(C171*(1-J171%)))),3,-1,9999)),"")</f>
        <v/>
      </c>
    </row>
    <row r="172" ht="20.25" customHeight="1" spans="6:9">
      <c r="F172" s="4"/>
      <c r="G172" s="25"/>
      <c r="H172" s="4"/>
      <c r="I172" s="4" t="str">
        <f>IFERROR(IF(H172="ND","ND",XiuYue((((H172-基础页!$B$22)*基础页!$B$15/(C172*(1-J172%)))),3,-1,9999)),"")</f>
        <v/>
      </c>
    </row>
    <row r="173" ht="20.25" customHeight="1" spans="6:9">
      <c r="F173" s="4"/>
      <c r="G173" s="25"/>
      <c r="H173" s="4"/>
      <c r="I173" s="4" t="str">
        <f>IFERROR(IF(H173="ND","ND",XiuYue((((H173-基础页!$B$22)*基础页!$B$15/(C173*(1-J173%)))),3,-1,9999)),"")</f>
        <v/>
      </c>
    </row>
    <row r="174" ht="20.25" customHeight="1" spans="6:9">
      <c r="F174" s="4"/>
      <c r="G174" s="25"/>
      <c r="H174" s="4"/>
      <c r="I174" s="4" t="str">
        <f>IFERROR(IF(H174="ND","ND",XiuYue((((H174-基础页!$B$22)*基础页!$B$15/(C174*(1-J174%)))),3,-1,9999)),"")</f>
        <v/>
      </c>
    </row>
    <row r="175" ht="20.25" customHeight="1" spans="6:9">
      <c r="F175" s="4"/>
      <c r="G175" s="25"/>
      <c r="H175" s="4"/>
      <c r="I175" s="4" t="str">
        <f>IFERROR(IF(H175="ND","ND",XiuYue((((H175-基础页!$B$22)*基础页!$B$15/(C175*(1-J175%)))),3,-1,9999)),"")</f>
        <v/>
      </c>
    </row>
    <row r="176" ht="20.25" customHeight="1" spans="6:9">
      <c r="F176" s="4"/>
      <c r="G176" s="25"/>
      <c r="H176" s="4"/>
      <c r="I176" s="4" t="str">
        <f>IFERROR(IF(H176="ND","ND",XiuYue((((H176-基础页!$B$22)*基础页!$B$15/(C176*(1-J176%)))),3,-1,9999)),"")</f>
        <v/>
      </c>
    </row>
    <row r="177" ht="20.25" customHeight="1" spans="6:9">
      <c r="F177" s="4"/>
      <c r="G177" s="25"/>
      <c r="H177" s="4"/>
      <c r="I177" s="4" t="str">
        <f>IFERROR(IF(H177="ND","ND",XiuYue((((H177-基础页!$B$22)*基础页!$B$15/(C177*(1-J177%)))),3,-1,9999)),"")</f>
        <v/>
      </c>
    </row>
    <row r="178" ht="20.25" customHeight="1" spans="6:9">
      <c r="F178" s="4"/>
      <c r="G178" s="25"/>
      <c r="H178" s="4"/>
      <c r="I178" s="4" t="str">
        <f>IFERROR(IF(H178="ND","ND",XiuYue((((H178-基础页!$B$22)*基础页!$B$15/(C178*(1-J178%)))),3,-1,9999)),"")</f>
        <v/>
      </c>
    </row>
    <row r="179" ht="20.25" customHeight="1" spans="6:9">
      <c r="F179" s="4"/>
      <c r="G179" s="25"/>
      <c r="H179" s="4"/>
      <c r="I179" s="4" t="str">
        <f>IFERROR(IF(H179="ND","ND",XiuYue((((H179-基础页!$B$22)*基础页!$B$15/(C179*(1-J179%)))),3,-1,9999)),"")</f>
        <v/>
      </c>
    </row>
    <row r="180" ht="20.25" customHeight="1" spans="6:9">
      <c r="F180" s="4"/>
      <c r="G180" s="25"/>
      <c r="H180" s="4"/>
      <c r="I180" s="4" t="str">
        <f>IFERROR(IF(H180="ND","ND",XiuYue((((H180-基础页!$B$22)*基础页!$B$15/(C180*(1-J180%)))),3,-1,9999)),"")</f>
        <v/>
      </c>
    </row>
    <row r="181" ht="20.25" customHeight="1" spans="6:9">
      <c r="F181" s="4"/>
      <c r="G181" s="25"/>
      <c r="H181" s="4"/>
      <c r="I181" s="4" t="str">
        <f>IFERROR(IF(H181="ND","ND",XiuYue((((H181-基础页!$B$22)*基础页!$B$15/(C181*(1-J181%)))),3,-1,9999)),"")</f>
        <v/>
      </c>
    </row>
    <row r="182" ht="20.25" customHeight="1" spans="6:9">
      <c r="F182" s="4"/>
      <c r="G182" s="25"/>
      <c r="H182" s="4"/>
      <c r="I182" s="4" t="str">
        <f>IFERROR(IF(H182="ND","ND",XiuYue((((H182-基础页!$B$22)*基础页!$B$15/(C182*(1-J182%)))),3,-1,9999)),"")</f>
        <v/>
      </c>
    </row>
    <row r="183" ht="20.25" customHeight="1" spans="6:9">
      <c r="F183" s="4"/>
      <c r="G183" s="25"/>
      <c r="H183" s="4"/>
      <c r="I183" s="4" t="str">
        <f>IFERROR(IF(H183="ND","ND",XiuYue((((H183-基础页!$B$22)*基础页!$B$15/(C183*(1-J183%)))),3,-1,9999)),"")</f>
        <v/>
      </c>
    </row>
    <row r="184" ht="20.25" customHeight="1" spans="6:9">
      <c r="F184" s="4"/>
      <c r="G184" s="25"/>
      <c r="H184" s="4"/>
      <c r="I184" s="4" t="str">
        <f>IFERROR(IF(H184="ND","ND",XiuYue((((H184-基础页!$B$22)*基础页!$B$15/(C184*(1-J184%)))),3,-1,9999)),"")</f>
        <v/>
      </c>
    </row>
    <row r="185" ht="20.25" customHeight="1" spans="6:9">
      <c r="F185" s="4"/>
      <c r="G185" s="25"/>
      <c r="H185" s="4"/>
      <c r="I185" s="4" t="str">
        <f>IFERROR(IF(H185="ND","ND",XiuYue((((H185-基础页!$B$22)*基础页!$B$15/(C185*(1-J185%)))),3,-1,9999)),"")</f>
        <v/>
      </c>
    </row>
    <row r="186" ht="20.25" customHeight="1" spans="6:9">
      <c r="F186" s="4"/>
      <c r="G186" s="25"/>
      <c r="H186" s="4"/>
      <c r="I186" s="4" t="str">
        <f>IFERROR(IF(H186="ND","ND",XiuYue((((H186-基础页!$B$22)*基础页!$B$15/(C186*(1-J186%)))),3,-1,9999)),"")</f>
        <v/>
      </c>
    </row>
    <row r="187" ht="20.25" customHeight="1" spans="6:9">
      <c r="F187" s="4"/>
      <c r="G187" s="25"/>
      <c r="H187" s="4"/>
      <c r="I187" s="4" t="str">
        <f>IFERROR(IF(H187="ND","ND",XiuYue((((H187-基础页!$B$22)*基础页!$B$15/(C187*(1-J187%)))),3,-1,9999)),"")</f>
        <v/>
      </c>
    </row>
    <row r="188" ht="20.25" customHeight="1" spans="6:9">
      <c r="F188" s="4"/>
      <c r="G188" s="25"/>
      <c r="H188" s="4"/>
      <c r="I188" s="4" t="str">
        <f>IFERROR(IF(H188="ND","ND",XiuYue((((H188-基础页!$B$22)*基础页!$B$15/(C188*(1-J188%)))),3,-1,9999)),"")</f>
        <v/>
      </c>
    </row>
    <row r="189" ht="20.25" customHeight="1" spans="6:9">
      <c r="F189" s="4"/>
      <c r="G189" s="25"/>
      <c r="H189" s="4"/>
      <c r="I189" s="4" t="str">
        <f>IFERROR(IF(H189="ND","ND",XiuYue((((H189-基础页!$B$22)*基础页!$B$15/(C189*(1-J189%)))),3,-1,9999)),"")</f>
        <v/>
      </c>
    </row>
    <row r="190" ht="20.25" customHeight="1" spans="6:9">
      <c r="F190" s="4"/>
      <c r="G190" s="25"/>
      <c r="H190" s="4"/>
      <c r="I190" s="4" t="str">
        <f>IFERROR(IF(H190="ND","ND",XiuYue((((H190-基础页!$B$22)*基础页!$B$15/(C190*(1-J190%)))),3,-1,9999)),"")</f>
        <v/>
      </c>
    </row>
    <row r="191" ht="20.25" customHeight="1" spans="6:9">
      <c r="F191" s="4"/>
      <c r="G191" s="25"/>
      <c r="H191" s="4"/>
      <c r="I191" s="4" t="str">
        <f>IFERROR(IF(H191="ND","ND",XiuYue((((H191-基础页!$B$22)*基础页!$B$15/(C191*(1-J191%)))),3,-1,9999)),"")</f>
        <v/>
      </c>
    </row>
    <row r="192" ht="20.25" customHeight="1" spans="6:9">
      <c r="F192" s="4"/>
      <c r="G192" s="25"/>
      <c r="H192" s="4"/>
      <c r="I192" s="4" t="str">
        <f>IFERROR(IF(H192="ND","ND",XiuYue((((H192-基础页!$B$22)*基础页!$B$15/(C192*(1-J192%)))),3,-1,9999)),"")</f>
        <v/>
      </c>
    </row>
    <row r="193" ht="20.25" customHeight="1" spans="6:9">
      <c r="F193" s="4"/>
      <c r="G193" s="25"/>
      <c r="H193" s="4"/>
      <c r="I193" s="4" t="str">
        <f>IFERROR(IF(H193="ND","ND",XiuYue((((H193-基础页!$B$22)*基础页!$B$15/(C193*(1-J193%)))),3,-1,9999)),"")</f>
        <v/>
      </c>
    </row>
    <row r="194" ht="20.25" customHeight="1" spans="6:9">
      <c r="F194" s="4"/>
      <c r="G194" s="25"/>
      <c r="H194" s="4"/>
      <c r="I194" s="4" t="str">
        <f>IFERROR(IF(H194="ND","ND",XiuYue((((H194-基础页!$B$22)*基础页!$B$15/(C194*(1-J194%)))),3,-1,9999)),"")</f>
        <v/>
      </c>
    </row>
    <row r="195" ht="20.25" customHeight="1" spans="6:9">
      <c r="F195" s="4"/>
      <c r="G195" s="25"/>
      <c r="H195" s="4"/>
      <c r="I195" s="4" t="str">
        <f>IFERROR(IF(H195="ND","ND",XiuYue((((H195-基础页!$B$22)*基础页!$B$15/(C195*(1-J195%)))),3,-1,9999)),"")</f>
        <v/>
      </c>
    </row>
    <row r="196" ht="20.25" customHeight="1" spans="6:9">
      <c r="F196" s="4"/>
      <c r="G196" s="25"/>
      <c r="H196" s="4"/>
      <c r="I196" s="4" t="str">
        <f>IFERROR(IF(H196="ND","ND",XiuYue((((H196-基础页!$B$22)*基础页!$B$15/(C196*(1-J196%)))),3,-1,9999)),"")</f>
        <v/>
      </c>
    </row>
    <row r="197" ht="20.25" customHeight="1" spans="6:9">
      <c r="F197" s="4"/>
      <c r="G197" s="25"/>
      <c r="H197" s="4"/>
      <c r="I197" s="4" t="str">
        <f>IFERROR(IF(H197="ND","ND",XiuYue((((H197-基础页!$B$22)*基础页!$B$15/(C197*(1-J197%)))),3,-1,9999)),"")</f>
        <v/>
      </c>
    </row>
    <row r="198" ht="20.25" customHeight="1" spans="6:9">
      <c r="F198" s="4"/>
      <c r="G198" s="25"/>
      <c r="H198" s="4"/>
      <c r="I198" s="4" t="str">
        <f>IFERROR(IF(H198="ND","ND",XiuYue((((H198-基础页!$B$22)*基础页!$B$15/(C198*(1-J198%)))),3,-1,9999)),"")</f>
        <v/>
      </c>
    </row>
    <row r="199" ht="20.25" customHeight="1" spans="6:9">
      <c r="F199" s="4"/>
      <c r="G199" s="25"/>
      <c r="H199" s="4"/>
      <c r="I199" s="4" t="str">
        <f>IFERROR(IF(H199="ND","ND",XiuYue((((H199-基础页!$B$22)*基础页!$B$15/(C199*(1-J199%)))),3,-1,9999)),"")</f>
        <v/>
      </c>
    </row>
    <row r="200" ht="20.25" customHeight="1" spans="6:9">
      <c r="F200" s="4"/>
      <c r="G200" s="25"/>
      <c r="H200" s="4"/>
      <c r="I200" s="4" t="str">
        <f>IFERROR(IF(H200="ND","ND",XiuYue((((H200-基础页!$B$22)*基础页!$B$15/(C200*(1-J200%)))),3,-1,9999)),"")</f>
        <v/>
      </c>
    </row>
    <row r="201" ht="20.25" customHeight="1" spans="6:9">
      <c r="F201" s="4"/>
      <c r="G201" s="25"/>
      <c r="H201" s="4"/>
      <c r="I201" s="4" t="str">
        <f>IFERROR(IF(H201="ND","ND",XiuYue((((H201-基础页!$B$22)*基础页!$B$15/(C201*(1-J201%)))),3,-1,9999)),"")</f>
        <v/>
      </c>
    </row>
    <row r="202" ht="20.25" customHeight="1" spans="6:9">
      <c r="F202" s="4"/>
      <c r="G202" s="25"/>
      <c r="H202" s="4"/>
      <c r="I202" s="4" t="str">
        <f>IFERROR(IF(H202="ND","ND",XiuYue((((H202-基础页!$B$22)*基础页!$B$15/(C202*(1-J202%)))),3,-1,9999)),"")</f>
        <v/>
      </c>
    </row>
    <row r="203" ht="20.25" customHeight="1" spans="6:9">
      <c r="F203" s="4"/>
      <c r="G203" s="25"/>
      <c r="H203" s="4"/>
      <c r="I203" s="4" t="str">
        <f>IFERROR(IF(H203="ND","ND",XiuYue((((H203-基础页!$B$22)*基础页!$B$15/(C203*(1-J203%)))),3,-1,9999)),"")</f>
        <v/>
      </c>
    </row>
    <row r="204" ht="20.25" customHeight="1" spans="6:9">
      <c r="F204" s="4"/>
      <c r="G204" s="25"/>
      <c r="H204" s="4"/>
      <c r="I204" s="4" t="str">
        <f>IFERROR(IF(H204="ND","ND",XiuYue((((H204-基础页!$B$22)*基础页!$B$15/(C204*(1-J204%)))),3,-1,9999)),"")</f>
        <v/>
      </c>
    </row>
    <row r="205" ht="20.25" customHeight="1" spans="6:9">
      <c r="F205" s="4"/>
      <c r="G205" s="25"/>
      <c r="H205" s="4"/>
      <c r="I205" s="4" t="str">
        <f>IFERROR(IF(H205="ND","ND",XiuYue((((H205-基础页!$B$22)*基础页!$B$15/(C205*(1-J205%)))),3,-1,9999)),"")</f>
        <v/>
      </c>
    </row>
    <row r="206" ht="20.25" customHeight="1" spans="6:9">
      <c r="F206" s="4"/>
      <c r="G206" s="25"/>
      <c r="H206" s="4"/>
      <c r="I206" s="4" t="str">
        <f>IFERROR(IF(H206="ND","ND",XiuYue((((H206-基础页!$B$22)*基础页!$B$15/(C206*(1-J206%)))),3,-1,9999)),"")</f>
        <v/>
      </c>
    </row>
    <row r="207" ht="20.25" customHeight="1" spans="6:9">
      <c r="F207" s="4"/>
      <c r="G207" s="25"/>
      <c r="H207" s="4"/>
      <c r="I207" s="4" t="str">
        <f>IFERROR(IF(H207="ND","ND",XiuYue((((H207-基础页!$B$22)*基础页!$B$15/(C207*(1-J207%)))),3,-1,9999)),"")</f>
        <v/>
      </c>
    </row>
    <row r="208" ht="20.25" customHeight="1" spans="6:9">
      <c r="F208" s="4"/>
      <c r="G208" s="25"/>
      <c r="H208" s="4"/>
      <c r="I208" s="4" t="str">
        <f>IFERROR(IF(H208="ND","ND",XiuYue((((H208-基础页!$B$22)*基础页!$B$15/(C208*(1-J208%)))),3,-1,9999)),"")</f>
        <v/>
      </c>
    </row>
    <row r="209" ht="20.25" customHeight="1" spans="6:9">
      <c r="F209" s="4"/>
      <c r="G209" s="25"/>
      <c r="H209" s="4"/>
      <c r="I209" s="4" t="str">
        <f>IFERROR(IF(H209="ND","ND",XiuYue((((H209-基础页!$B$22)*基础页!$B$15/(C209*(1-J209%)))),3,-1,9999)),"")</f>
        <v/>
      </c>
    </row>
    <row r="210" ht="20.25" customHeight="1" spans="6:9">
      <c r="F210" s="4"/>
      <c r="G210" s="25"/>
      <c r="H210" s="4"/>
      <c r="I210" s="4" t="str">
        <f>IFERROR(IF(H210="ND","ND",XiuYue((((H210-基础页!$B$22)*基础页!$B$15/(C210*(1-J210%)))),3,-1,9999)),"")</f>
        <v/>
      </c>
    </row>
    <row r="211" ht="20.25" customHeight="1" spans="6:9">
      <c r="F211" s="4"/>
      <c r="G211" s="25"/>
      <c r="H211" s="4"/>
      <c r="I211" s="4" t="str">
        <f>IFERROR(IF(H211="ND","ND",XiuYue((((H211-基础页!$B$22)*基础页!$B$15/(C211*(1-J211%)))),3,-1,9999)),"")</f>
        <v/>
      </c>
    </row>
    <row r="212" ht="20.25" customHeight="1" spans="6:9">
      <c r="F212" s="4"/>
      <c r="G212" s="25"/>
      <c r="H212" s="4"/>
      <c r="I212" s="4" t="str">
        <f>IFERROR(IF(H212="ND","ND",XiuYue((((H212-基础页!$B$22)*基础页!$B$15/(C212*(1-J212%)))),3,-1,9999)),"")</f>
        <v/>
      </c>
    </row>
    <row r="213" ht="20.25" customHeight="1" spans="6:9">
      <c r="F213" s="4"/>
      <c r="G213" s="25"/>
      <c r="H213" s="4"/>
      <c r="I213" s="4" t="str">
        <f>IFERROR(IF(H213="ND","ND",XiuYue((((H213-基础页!$B$22)*基础页!$B$15/(C213*(1-J213%)))),3,-1,9999)),"")</f>
        <v/>
      </c>
    </row>
    <row r="214" ht="20.25" customHeight="1" spans="6:9">
      <c r="F214" s="4"/>
      <c r="G214" s="25"/>
      <c r="H214" s="4"/>
      <c r="I214" s="4" t="str">
        <f>IFERROR(IF(H214="ND","ND",XiuYue((((H214-基础页!$B$22)*基础页!$B$15/(C214*(1-J214%)))),3,-1,9999)),"")</f>
        <v/>
      </c>
    </row>
    <row r="215" ht="20.25" customHeight="1" spans="6:9">
      <c r="F215" s="4"/>
      <c r="G215" s="25"/>
      <c r="H215" s="4"/>
      <c r="I215" s="4" t="str">
        <f>IFERROR(IF(H215="ND","ND",XiuYue((((H215-基础页!$B$22)*基础页!$B$15/(C215*(1-J215%)))),3,-1,9999)),"")</f>
        <v/>
      </c>
    </row>
    <row r="216" ht="20.25" customHeight="1" spans="6:9">
      <c r="F216" s="4"/>
      <c r="G216" s="25"/>
      <c r="H216" s="4"/>
      <c r="I216" s="4" t="str">
        <f>IFERROR(IF(H216="ND","ND",XiuYue((((H216-基础页!$B$22)*基础页!$B$15/(C216*(1-J216%)))),3,-1,9999)),"")</f>
        <v/>
      </c>
    </row>
    <row r="217" ht="20.25" customHeight="1" spans="6:9">
      <c r="F217" s="4"/>
      <c r="G217" s="25"/>
      <c r="H217" s="4"/>
      <c r="I217" s="4" t="str">
        <f>IFERROR(IF(H217="ND","ND",XiuYue((((H217-基础页!$B$22)*基础页!$B$15/(C217*(1-J217%)))),3,-1,9999)),"")</f>
        <v/>
      </c>
    </row>
    <row r="218" ht="20.25" customHeight="1" spans="6:9">
      <c r="F218" s="4"/>
      <c r="G218" s="25"/>
      <c r="H218" s="4"/>
      <c r="I218" s="4" t="str">
        <f>IFERROR(IF(H218="ND","ND",XiuYue((((H218-基础页!$B$22)*基础页!$B$15/(C218*(1-J218%)))),3,-1,9999)),"")</f>
        <v/>
      </c>
    </row>
    <row r="219" ht="20.25" customHeight="1" spans="6:9">
      <c r="F219" s="4"/>
      <c r="G219" s="25"/>
      <c r="H219" s="4"/>
      <c r="I219" s="4" t="str">
        <f>IFERROR(IF(H219="ND","ND",XiuYue((((H219-基础页!$B$22)*基础页!$B$15/(C219*(1-J219%)))),3,-1,9999)),"")</f>
        <v/>
      </c>
    </row>
    <row r="220" ht="20.25" customHeight="1" spans="6:9">
      <c r="F220" s="4"/>
      <c r="G220" s="25"/>
      <c r="H220" s="4"/>
      <c r="I220" s="4" t="str">
        <f>IFERROR(IF(H220="ND","ND",XiuYue((((H220-基础页!$B$22)*基础页!$B$15/(C220*(1-J220%)))),3,-1,9999)),"")</f>
        <v/>
      </c>
    </row>
    <row r="221" ht="20.25" customHeight="1" spans="6:9">
      <c r="F221" s="4"/>
      <c r="G221" s="25"/>
      <c r="H221" s="4"/>
      <c r="I221" s="4" t="str">
        <f>IFERROR(IF(H221="ND","ND",XiuYue((((H221-基础页!$B$22)*基础页!$B$15/(C221*(1-J221%)))),3,-1,9999)),"")</f>
        <v/>
      </c>
    </row>
    <row r="222" ht="20.25" customHeight="1" spans="6:9">
      <c r="F222" s="4"/>
      <c r="G222" s="25"/>
      <c r="H222" s="4"/>
      <c r="I222" s="4" t="str">
        <f>IFERROR(IF(H222="ND","ND",XiuYue((((H222-基础页!$B$22)*基础页!$B$15/(C222*(1-J222%)))),3,-1,9999)),"")</f>
        <v/>
      </c>
    </row>
    <row r="223" ht="20.25" customHeight="1" spans="6:9">
      <c r="F223" s="4"/>
      <c r="G223" s="25"/>
      <c r="H223" s="4"/>
      <c r="I223" s="4" t="str">
        <f>IFERROR(IF(H223="ND","ND",XiuYue((((H223-基础页!$B$22)*基础页!$B$15/(C223*(1-J223%)))),3,-1,9999)),"")</f>
        <v/>
      </c>
    </row>
    <row r="224" ht="20.25" customHeight="1" spans="6:9">
      <c r="F224" s="4"/>
      <c r="G224" s="25"/>
      <c r="H224" s="4"/>
      <c r="I224" s="4" t="str">
        <f>IFERROR(IF(H224="ND","ND",XiuYue((((H224-基础页!$B$22)*基础页!$B$15/(C224*(1-J224%)))),3,-1,9999)),"")</f>
        <v/>
      </c>
    </row>
    <row r="225" ht="20.25" customHeight="1" spans="6:9">
      <c r="F225" s="4"/>
      <c r="G225" s="25"/>
      <c r="H225" s="4"/>
      <c r="I225" s="4" t="str">
        <f>IFERROR(IF(H225="ND","ND",XiuYue((((H225-基础页!$B$22)*基础页!$B$15/(C225*(1-J225%)))),3,-1,9999)),"")</f>
        <v/>
      </c>
    </row>
    <row r="226" ht="20.25" customHeight="1" spans="6:9">
      <c r="F226" s="4"/>
      <c r="G226" s="25"/>
      <c r="H226" s="4"/>
      <c r="I226" s="4" t="str">
        <f>IFERROR(IF(H226="ND","ND",XiuYue((((H226-基础页!$B$22)*基础页!$B$15/(C226*(1-J226%)))),3,-1,9999)),"")</f>
        <v/>
      </c>
    </row>
    <row r="227" ht="20.25" customHeight="1" spans="6:9">
      <c r="F227" s="4"/>
      <c r="G227" s="25"/>
      <c r="H227" s="4"/>
      <c r="I227" s="4" t="str">
        <f>IFERROR(IF(H227="ND","ND",XiuYue((((H227-基础页!$B$22)*基础页!$B$15/(C227*(1-J227%)))),3,-1,9999)),"")</f>
        <v/>
      </c>
    </row>
    <row r="228" ht="20.25" customHeight="1" spans="6:9">
      <c r="F228" s="4"/>
      <c r="G228" s="25"/>
      <c r="H228" s="4"/>
      <c r="I228" s="4" t="str">
        <f>IFERROR(IF(H228="ND","ND",XiuYue((((H228-基础页!$B$22)*基础页!$B$15/(C228*(1-J228%)))),3,-1,9999)),"")</f>
        <v/>
      </c>
    </row>
    <row r="229" ht="20.25" customHeight="1" spans="6:9">
      <c r="F229" s="4"/>
      <c r="G229" s="25"/>
      <c r="H229" s="4"/>
      <c r="I229" s="4" t="str">
        <f>IFERROR(IF(H229="ND","ND",XiuYue((((H229-基础页!$B$22)*基础页!$B$15/(C229*(1-J229%)))),3,-1,9999)),"")</f>
        <v/>
      </c>
    </row>
    <row r="230" ht="20.25" customHeight="1" spans="6:9">
      <c r="F230" s="4"/>
      <c r="G230" s="25"/>
      <c r="H230" s="4"/>
      <c r="I230" s="4" t="str">
        <f>IFERROR(IF(H230="ND","ND",XiuYue((((H230-基础页!$B$22)*基础页!$B$15/(C230*(1-J230%)))),3,-1,9999)),"")</f>
        <v/>
      </c>
    </row>
    <row r="231" ht="20.25" customHeight="1" spans="6:9">
      <c r="F231" s="4"/>
      <c r="G231" s="25"/>
      <c r="H231" s="4"/>
      <c r="I231" s="4" t="str">
        <f>IFERROR(IF(H231="ND","ND",XiuYue((((H231-基础页!$B$22)*基础页!$B$15/(C231*(1-J231%)))),3,-1,9999)),"")</f>
        <v/>
      </c>
    </row>
    <row r="232" ht="20.25" customHeight="1" spans="6:9">
      <c r="F232" s="4"/>
      <c r="G232" s="25"/>
      <c r="H232" s="4"/>
      <c r="I232" s="4" t="str">
        <f>IFERROR(IF(H232="ND","ND",XiuYue((((H232-基础页!$B$22)*基础页!$B$15/(C232*(1-J232%)))),3,-1,9999)),"")</f>
        <v/>
      </c>
    </row>
    <row r="233" ht="20.25" customHeight="1" spans="6:9">
      <c r="F233" s="4"/>
      <c r="G233" s="25"/>
      <c r="H233" s="4"/>
      <c r="I233" s="4"/>
    </row>
    <row r="234" ht="20.25" customHeight="1" spans="6:9">
      <c r="F234" s="4"/>
      <c r="G234" s="25"/>
      <c r="H234" s="4"/>
      <c r="I234" s="4"/>
    </row>
    <row r="235" ht="20.25" customHeight="1" spans="6:9">
      <c r="F235" s="4"/>
      <c r="G235" s="25"/>
      <c r="H235" s="4"/>
      <c r="I235" s="4"/>
    </row>
    <row r="236" ht="20.25" customHeight="1" spans="6:9">
      <c r="F236" s="4"/>
      <c r="G236" s="25"/>
      <c r="H236" s="4"/>
      <c r="I236" s="4"/>
    </row>
    <row r="237" ht="20.25" customHeight="1" spans="6:9">
      <c r="F237" s="4"/>
      <c r="G237" s="25"/>
      <c r="H237" s="4"/>
      <c r="I237" s="4"/>
    </row>
    <row r="238" ht="20.25" customHeight="1" spans="6:9">
      <c r="F238" s="4"/>
      <c r="G238" s="25"/>
      <c r="H238" s="4"/>
      <c r="I238" s="4"/>
    </row>
    <row r="239" ht="20.25" customHeight="1" spans="6:9">
      <c r="F239" s="4"/>
      <c r="G239" s="25"/>
      <c r="H239" s="4"/>
      <c r="I239" s="4"/>
    </row>
    <row r="240" ht="20.25" customHeight="1" spans="6:9">
      <c r="F240" s="4"/>
      <c r="G240" s="25"/>
      <c r="H240" s="4"/>
      <c r="I240" s="4"/>
    </row>
    <row r="241" ht="20.25" customHeight="1" spans="6:9">
      <c r="F241" s="4"/>
      <c r="G241" s="25"/>
      <c r="H241" s="4"/>
      <c r="I241" s="4"/>
    </row>
    <row r="242" ht="20.25" customHeight="1" spans="6:9">
      <c r="F242" s="4"/>
      <c r="G242" s="25"/>
      <c r="H242" s="4"/>
      <c r="I242" s="4"/>
    </row>
    <row r="243" ht="20.25" customHeight="1" spans="6:9">
      <c r="F243" s="4"/>
      <c r="G243" s="25"/>
      <c r="H243" s="4"/>
      <c r="I243" s="4"/>
    </row>
    <row r="244" ht="20.25" customHeight="1" spans="6:9">
      <c r="F244" s="4"/>
      <c r="G244" s="25"/>
      <c r="H244" s="4"/>
      <c r="I244" s="4"/>
    </row>
    <row r="245" ht="20.25" customHeight="1" spans="6:9">
      <c r="F245" s="4"/>
      <c r="G245" s="25"/>
      <c r="H245" s="4"/>
      <c r="I245" s="4"/>
    </row>
    <row r="246" ht="20.25" customHeight="1" spans="6:9">
      <c r="F246" s="4"/>
      <c r="G246" s="25"/>
      <c r="H246" s="4"/>
      <c r="I246" s="4"/>
    </row>
    <row r="247" ht="20.25" customHeight="1" spans="6:9">
      <c r="F247" s="4"/>
      <c r="G247" s="25"/>
      <c r="H247" s="4"/>
      <c r="I247" s="4"/>
    </row>
    <row r="248" ht="20.25" customHeight="1" spans="6:9">
      <c r="F248" s="4"/>
      <c r="G248" s="25"/>
      <c r="H248" s="4"/>
      <c r="I248" s="4"/>
    </row>
    <row r="249" ht="20.25" customHeight="1" spans="6:9">
      <c r="F249" s="4"/>
      <c r="G249" s="25"/>
      <c r="H249" s="4"/>
      <c r="I249" s="4"/>
    </row>
    <row r="250" ht="20.25" customHeight="1" spans="6:9">
      <c r="F250" s="4"/>
      <c r="G250" s="25"/>
      <c r="H250" s="4"/>
      <c r="I250" s="4"/>
    </row>
    <row r="251" ht="20.25" customHeight="1" spans="6:9">
      <c r="F251" s="4"/>
      <c r="G251" s="25"/>
      <c r="H251" s="4"/>
      <c r="I251" s="4"/>
    </row>
    <row r="252" ht="20.25" customHeight="1" spans="6:9">
      <c r="F252" s="4"/>
      <c r="G252" s="25"/>
      <c r="H252" s="4"/>
      <c r="I252" s="4"/>
    </row>
    <row r="253" ht="20.25" customHeight="1" spans="6:9">
      <c r="F253" s="4"/>
      <c r="G253" s="25"/>
      <c r="H253" s="4"/>
      <c r="I253" s="4"/>
    </row>
    <row r="254" ht="20.25" customHeight="1" spans="6:9">
      <c r="F254" s="4"/>
      <c r="G254" s="25"/>
      <c r="H254" s="4"/>
      <c r="I254" s="4"/>
    </row>
    <row r="255" ht="20.25" customHeight="1" spans="6:9">
      <c r="F255" s="4"/>
      <c r="G255" s="25"/>
      <c r="H255" s="4"/>
      <c r="I255" s="4"/>
    </row>
    <row r="256" ht="20.25" customHeight="1" spans="6:9">
      <c r="F256" s="4"/>
      <c r="G256" s="25"/>
      <c r="H256" s="4"/>
      <c r="I256" s="4"/>
    </row>
    <row r="257" ht="20.25" customHeight="1" spans="6:9">
      <c r="F257" s="4"/>
      <c r="G257" s="25"/>
      <c r="H257" s="4"/>
      <c r="I257" s="4"/>
    </row>
    <row r="258" ht="20.25" customHeight="1" spans="6:9">
      <c r="F258" s="4"/>
      <c r="G258" s="25"/>
      <c r="H258" s="4"/>
      <c r="I258" s="4"/>
    </row>
    <row r="259" ht="20.25" customHeight="1" spans="6:9">
      <c r="F259" s="4"/>
      <c r="G259" s="25"/>
      <c r="H259" s="4"/>
      <c r="I259" s="4"/>
    </row>
    <row r="260" ht="20.25" customHeight="1" spans="6:9">
      <c r="F260" s="4"/>
      <c r="G260" s="25"/>
      <c r="H260" s="4"/>
      <c r="I260" s="4"/>
    </row>
    <row r="261" ht="20.25" customHeight="1" spans="6:9">
      <c r="F261" s="4"/>
      <c r="G261" s="25"/>
      <c r="H261" s="4"/>
      <c r="I261" s="4"/>
    </row>
    <row r="262" ht="20.25" customHeight="1" spans="6:9">
      <c r="F262" s="4"/>
      <c r="G262" s="25"/>
      <c r="H262" s="4"/>
      <c r="I262" s="4"/>
    </row>
    <row r="263" ht="20.25" customHeight="1" spans="6:9">
      <c r="F263" s="4"/>
      <c r="G263" s="25"/>
      <c r="H263" s="4"/>
      <c r="I263" s="4"/>
    </row>
    <row r="264" ht="20.25" customHeight="1" spans="6:9">
      <c r="F264" s="4"/>
      <c r="G264" s="25"/>
      <c r="H264" s="4"/>
      <c r="I264" s="4"/>
    </row>
    <row r="265" ht="20.25" customHeight="1" spans="6:9">
      <c r="F265" s="4"/>
      <c r="G265" s="25"/>
      <c r="H265" s="4"/>
      <c r="I265" s="4"/>
    </row>
    <row r="266" ht="20.25" customHeight="1" spans="6:9">
      <c r="F266" s="4"/>
      <c r="G266" s="25"/>
      <c r="H266" s="4"/>
      <c r="I266" s="4"/>
    </row>
    <row r="267" ht="20.25" customHeight="1" spans="6:9">
      <c r="F267" s="4"/>
      <c r="G267" s="25"/>
      <c r="H267" s="4"/>
      <c r="I267" s="4"/>
    </row>
    <row r="268" ht="20.25" customHeight="1" spans="6:9">
      <c r="F268" s="4"/>
      <c r="G268" s="25"/>
      <c r="H268" s="4"/>
      <c r="I268" s="4"/>
    </row>
    <row r="269" ht="20.25" customHeight="1" spans="6:9">
      <c r="F269" s="4"/>
      <c r="G269" s="25"/>
      <c r="H269" s="4"/>
      <c r="I269" s="4"/>
    </row>
    <row r="270" ht="20.25" customHeight="1" spans="6:9">
      <c r="F270" s="4"/>
      <c r="G270" s="25"/>
      <c r="H270" s="4"/>
      <c r="I270" s="4"/>
    </row>
    <row r="271" ht="20.25" customHeight="1" spans="6:9">
      <c r="F271" s="4"/>
      <c r="G271" s="25"/>
      <c r="H271" s="4"/>
      <c r="I271" s="4"/>
    </row>
    <row r="272" ht="20.25" customHeight="1" spans="6:9">
      <c r="F272" s="4"/>
      <c r="G272" s="25"/>
      <c r="H272" s="4"/>
      <c r="I272" s="4"/>
    </row>
    <row r="273" ht="20.25" customHeight="1" spans="6:9">
      <c r="F273" s="4"/>
      <c r="G273" s="25"/>
      <c r="H273" s="4"/>
      <c r="I273" s="4"/>
    </row>
    <row r="274" ht="20.25" customHeight="1" spans="6:9">
      <c r="F274" s="4"/>
      <c r="G274" s="25"/>
      <c r="H274" s="4"/>
      <c r="I274" s="4"/>
    </row>
    <row r="275" ht="20.25" customHeight="1" spans="6:9">
      <c r="F275" s="4"/>
      <c r="G275" s="25"/>
      <c r="H275" s="4"/>
      <c r="I275" s="4"/>
    </row>
    <row r="276" ht="20.25" customHeight="1" spans="6:9">
      <c r="F276" s="4"/>
      <c r="G276" s="25"/>
      <c r="H276" s="4"/>
      <c r="I276" s="4"/>
    </row>
    <row r="277" ht="20.25" customHeight="1" spans="6:9">
      <c r="F277" s="4"/>
      <c r="G277" s="25"/>
      <c r="H277" s="4"/>
      <c r="I277" s="4"/>
    </row>
    <row r="278" ht="20.25" customHeight="1" spans="6:9">
      <c r="F278" s="4"/>
      <c r="G278" s="25"/>
      <c r="H278" s="4"/>
      <c r="I278" s="4"/>
    </row>
    <row r="279" ht="20.25" customHeight="1" spans="6:9">
      <c r="F279" s="4"/>
      <c r="G279" s="25"/>
      <c r="H279" s="4"/>
      <c r="I279" s="4"/>
    </row>
    <row r="280" ht="20.25" customHeight="1" spans="6:9">
      <c r="F280" s="4"/>
      <c r="G280" s="25"/>
      <c r="H280" s="4"/>
      <c r="I280" s="4"/>
    </row>
    <row r="281" ht="20.25" customHeight="1" spans="6:9">
      <c r="F281" s="4"/>
      <c r="G281" s="25"/>
      <c r="H281" s="4"/>
      <c r="I281" s="4"/>
    </row>
    <row r="282" ht="20.25" customHeight="1" spans="6:9">
      <c r="F282" s="4"/>
      <c r="G282" s="25"/>
      <c r="H282" s="4"/>
      <c r="I282" s="4"/>
    </row>
    <row r="283" ht="20.25" customHeight="1" spans="6:9">
      <c r="F283" s="4"/>
      <c r="G283" s="25"/>
      <c r="H283" s="4"/>
      <c r="I283" s="4"/>
    </row>
    <row r="284" ht="20.25" customHeight="1" spans="6:9">
      <c r="F284" s="4"/>
      <c r="G284" s="25"/>
      <c r="H284" s="4"/>
      <c r="I284" s="4"/>
    </row>
    <row r="285" ht="20.25" customHeight="1" spans="6:9">
      <c r="F285" s="4"/>
      <c r="G285" s="25"/>
      <c r="H285" s="4"/>
      <c r="I285" s="4"/>
    </row>
    <row r="286" ht="20.25" customHeight="1" spans="6:9">
      <c r="F286" s="4"/>
      <c r="G286" s="25"/>
      <c r="H286" s="4"/>
      <c r="I286" s="4"/>
    </row>
    <row r="287" ht="20.25" customHeight="1" spans="6:9">
      <c r="F287" s="4"/>
      <c r="G287" s="25"/>
      <c r="H287" s="4"/>
      <c r="I287" s="4"/>
    </row>
    <row r="288" ht="20.25" customHeight="1" spans="6:9">
      <c r="F288" s="4"/>
      <c r="G288" s="25"/>
      <c r="H288" s="4"/>
      <c r="I288" s="4"/>
    </row>
    <row r="289" ht="20.25" customHeight="1" spans="6:9">
      <c r="F289" s="4"/>
      <c r="G289" s="25"/>
      <c r="H289" s="4"/>
      <c r="I289" s="4"/>
    </row>
    <row r="290" ht="20.25" customHeight="1" spans="6:9">
      <c r="F290" s="4"/>
      <c r="G290" s="25"/>
      <c r="H290" s="4"/>
      <c r="I290" s="4"/>
    </row>
    <row r="291" ht="20.25" customHeight="1" spans="6:9">
      <c r="F291" s="4"/>
      <c r="G291" s="25"/>
      <c r="H291" s="4"/>
      <c r="I291" s="4"/>
    </row>
    <row r="292" ht="20.25" customHeight="1" spans="6:9">
      <c r="F292" s="4"/>
      <c r="G292" s="25"/>
      <c r="H292" s="4"/>
      <c r="I292" s="4"/>
    </row>
    <row r="293" ht="20.25" customHeight="1" spans="6:9">
      <c r="F293" s="4"/>
      <c r="G293" s="25"/>
      <c r="H293" s="4"/>
      <c r="I293" s="4"/>
    </row>
    <row r="294" ht="20.25" customHeight="1" spans="6:9">
      <c r="F294" s="4"/>
      <c r="G294" s="25"/>
      <c r="H294" s="4"/>
      <c r="I294" s="4"/>
    </row>
    <row r="295" ht="20.25" customHeight="1" spans="6:9">
      <c r="F295" s="4"/>
      <c r="G295" s="25"/>
      <c r="H295" s="4"/>
      <c r="I295" s="4"/>
    </row>
    <row r="296" ht="20.25" customHeight="1" spans="6:9">
      <c r="F296" s="4"/>
      <c r="G296" s="25"/>
      <c r="H296" s="4"/>
      <c r="I296" s="4"/>
    </row>
    <row r="297" ht="20.25" customHeight="1" spans="6:9">
      <c r="F297" s="4"/>
      <c r="G297" s="25"/>
      <c r="H297" s="4"/>
      <c r="I297" s="4"/>
    </row>
    <row r="298" ht="20.25" customHeight="1" spans="6:9">
      <c r="F298" s="4"/>
      <c r="G298" s="25"/>
      <c r="H298" s="4"/>
      <c r="I298" s="4"/>
    </row>
    <row r="299" ht="20.25" customHeight="1" spans="6:9">
      <c r="F299" s="4"/>
      <c r="G299" s="25"/>
      <c r="H299" s="4"/>
      <c r="I299" s="4"/>
    </row>
    <row r="300" ht="20.25" customHeight="1" spans="6:9">
      <c r="F300" s="4"/>
      <c r="G300" s="25"/>
      <c r="H300" s="4"/>
      <c r="I300" s="4"/>
    </row>
    <row r="301" ht="20.25" customHeight="1" spans="6:9">
      <c r="F301" s="4"/>
      <c r="G301" s="25"/>
      <c r="H301" s="4"/>
      <c r="I301" s="4"/>
    </row>
    <row r="302" ht="20.25" customHeight="1" spans="6:9">
      <c r="F302" s="4"/>
      <c r="G302" s="25"/>
      <c r="H302" s="4"/>
      <c r="I302" s="4"/>
    </row>
    <row r="303" ht="20.25" customHeight="1" spans="6:9">
      <c r="F303" s="4"/>
      <c r="G303" s="25"/>
      <c r="H303" s="4"/>
      <c r="I303" s="4"/>
    </row>
    <row r="304" ht="20.25" customHeight="1" spans="6:9">
      <c r="F304" s="4"/>
      <c r="G304" s="25"/>
      <c r="H304" s="4"/>
      <c r="I304" s="4"/>
    </row>
    <row r="305" ht="20.25" customHeight="1" spans="6:9">
      <c r="F305" s="4"/>
      <c r="G305" s="25"/>
      <c r="H305" s="4"/>
      <c r="I305" s="4"/>
    </row>
    <row r="306" ht="20.25" customHeight="1" spans="6:9">
      <c r="F306" s="4"/>
      <c r="G306" s="25"/>
      <c r="H306" s="4"/>
      <c r="I306" s="4"/>
    </row>
    <row r="307" ht="20.25" customHeight="1" spans="6:9">
      <c r="F307" s="4"/>
      <c r="G307" s="25"/>
      <c r="H307" s="4"/>
      <c r="I307" s="4"/>
    </row>
    <row r="308" ht="20.25" customHeight="1" spans="6:9">
      <c r="F308" s="4"/>
      <c r="G308" s="25"/>
      <c r="H308" s="4"/>
      <c r="I308" s="4"/>
    </row>
    <row r="309" ht="20.25" customHeight="1" spans="6:9">
      <c r="F309" s="4"/>
      <c r="G309" s="25"/>
      <c r="H309" s="4"/>
      <c r="I309" s="4"/>
    </row>
    <row r="310" ht="20.25" customHeight="1" spans="6:9">
      <c r="F310" s="4"/>
      <c r="G310" s="25"/>
      <c r="H310" s="4"/>
      <c r="I310" s="4"/>
    </row>
    <row r="311" ht="20.25" customHeight="1" spans="6:9">
      <c r="F311" s="4"/>
      <c r="G311" s="25"/>
      <c r="H311" s="4"/>
      <c r="I311" s="4"/>
    </row>
    <row r="312" ht="20.25" customHeight="1" spans="6:9">
      <c r="F312" s="4"/>
      <c r="G312" s="25"/>
      <c r="H312" s="4"/>
      <c r="I312" s="4"/>
    </row>
    <row r="313" ht="20.25" customHeight="1" spans="6:9">
      <c r="F313" s="4"/>
      <c r="G313" s="25"/>
      <c r="H313" s="4"/>
      <c r="I313" s="4"/>
    </row>
    <row r="314" ht="20.25" customHeight="1" spans="6:9">
      <c r="F314" s="4"/>
      <c r="G314" s="25"/>
      <c r="H314" s="4"/>
      <c r="I314" s="4"/>
    </row>
    <row r="315" ht="20.25" customHeight="1" spans="6:9">
      <c r="F315" s="4"/>
      <c r="G315" s="25"/>
      <c r="H315" s="4"/>
      <c r="I315" s="4"/>
    </row>
    <row r="316" ht="20.25" customHeight="1" spans="6:9">
      <c r="F316" s="4"/>
      <c r="G316" s="25"/>
      <c r="H316" s="4"/>
      <c r="I316" s="4"/>
    </row>
    <row r="317" ht="20.25" customHeight="1" spans="6:9">
      <c r="F317" s="4"/>
      <c r="G317" s="25"/>
      <c r="H317" s="4"/>
      <c r="I317" s="4"/>
    </row>
    <row r="318" ht="20.25" customHeight="1" spans="6:9">
      <c r="F318" s="4"/>
      <c r="G318" s="25"/>
      <c r="H318" s="4"/>
      <c r="I318" s="4"/>
    </row>
    <row r="319" ht="20.25" customHeight="1" spans="6:9">
      <c r="F319" s="4"/>
      <c r="G319" s="25"/>
      <c r="H319" s="4"/>
      <c r="I319" s="4"/>
    </row>
    <row r="320" ht="20.25" customHeight="1" spans="6:9">
      <c r="F320" s="4"/>
      <c r="G320" s="25"/>
      <c r="H320" s="4"/>
      <c r="I320" s="4"/>
    </row>
    <row r="321" ht="20.25" customHeight="1" spans="6:9">
      <c r="F321" s="4"/>
      <c r="G321" s="25"/>
      <c r="H321" s="4"/>
      <c r="I321" s="4"/>
    </row>
    <row r="322" ht="20.25" customHeight="1" spans="6:9">
      <c r="F322" s="4"/>
      <c r="G322" s="25"/>
      <c r="H322" s="4"/>
      <c r="I322" s="4"/>
    </row>
    <row r="323" ht="20.25" customHeight="1" spans="6:9">
      <c r="F323" s="4"/>
      <c r="G323" s="25"/>
      <c r="H323" s="4"/>
      <c r="I323" s="4"/>
    </row>
    <row r="324" ht="20.25" customHeight="1" spans="6:9">
      <c r="F324" s="4"/>
      <c r="G324" s="25"/>
      <c r="H324" s="4"/>
      <c r="I324" s="4"/>
    </row>
    <row r="325" ht="20.25" customHeight="1" spans="6:9">
      <c r="F325" s="4"/>
      <c r="G325" s="25"/>
      <c r="H325" s="4"/>
      <c r="I325" s="4"/>
    </row>
    <row r="326" ht="20.25" customHeight="1" spans="6:9">
      <c r="F326" s="4"/>
      <c r="G326" s="25"/>
      <c r="H326" s="4"/>
      <c r="I326" s="4"/>
    </row>
    <row r="327" ht="20.25" customHeight="1" spans="6:9">
      <c r="F327" s="4"/>
      <c r="G327" s="25"/>
      <c r="H327" s="4"/>
      <c r="I327" s="4"/>
    </row>
    <row r="328" ht="20.25" customHeight="1" spans="6:9">
      <c r="F328" s="4"/>
      <c r="G328" s="25"/>
      <c r="H328" s="4"/>
      <c r="I328" s="4"/>
    </row>
    <row r="329" ht="20.25" customHeight="1" spans="6:9">
      <c r="F329" s="4"/>
      <c r="G329" s="25"/>
      <c r="H329" s="4"/>
      <c r="I329" s="4"/>
    </row>
    <row r="330" ht="20.25" customHeight="1" spans="6:9">
      <c r="F330" s="4"/>
      <c r="G330" s="25"/>
      <c r="H330" s="4"/>
      <c r="I330" s="4"/>
    </row>
    <row r="331" ht="20.25" customHeight="1" spans="6:9">
      <c r="F331" s="4"/>
      <c r="G331" s="25"/>
      <c r="H331" s="4"/>
      <c r="I331" s="4"/>
    </row>
    <row r="332" ht="20.25" customHeight="1" spans="6:9">
      <c r="F332" s="4"/>
      <c r="G332" s="25"/>
      <c r="H332" s="4"/>
      <c r="I332" s="4"/>
    </row>
    <row r="333" ht="20.25" customHeight="1" spans="6:9">
      <c r="F333" s="4"/>
      <c r="G333" s="25"/>
      <c r="H333" s="4"/>
      <c r="I333" s="4"/>
    </row>
    <row r="334" ht="20.25" customHeight="1" spans="6:9">
      <c r="F334" s="4"/>
      <c r="G334" s="25"/>
      <c r="H334" s="4"/>
      <c r="I334" s="4"/>
    </row>
    <row r="335" ht="20.25" customHeight="1" spans="6:9">
      <c r="F335" s="4"/>
      <c r="G335" s="25"/>
      <c r="H335" s="4"/>
      <c r="I335" s="4"/>
    </row>
    <row r="336" ht="20.25" customHeight="1" spans="6:9">
      <c r="F336" s="4"/>
      <c r="G336" s="25"/>
      <c r="H336" s="4"/>
      <c r="I336" s="4"/>
    </row>
    <row r="337" ht="20.25" customHeight="1" spans="6:9">
      <c r="F337" s="4"/>
      <c r="G337" s="25"/>
      <c r="H337" s="4"/>
      <c r="I337" s="4"/>
    </row>
    <row r="338" ht="20.25" customHeight="1" spans="6:9">
      <c r="F338" s="4"/>
      <c r="G338" s="25"/>
      <c r="H338" s="4"/>
      <c r="I338" s="4"/>
    </row>
    <row r="339" ht="20.25" customHeight="1" spans="6:9">
      <c r="F339" s="4"/>
      <c r="G339" s="25"/>
      <c r="H339" s="4"/>
      <c r="I339" s="4"/>
    </row>
    <row r="340" ht="20.25" customHeight="1" spans="6:9">
      <c r="F340" s="4"/>
      <c r="G340" s="25"/>
      <c r="H340" s="4"/>
      <c r="I340" s="4"/>
    </row>
    <row r="341" ht="20.25" customHeight="1" spans="6:9">
      <c r="F341" s="4"/>
      <c r="G341" s="25"/>
      <c r="H341" s="4"/>
      <c r="I341" s="4"/>
    </row>
    <row r="342" ht="20.25" customHeight="1" spans="6:9">
      <c r="F342" s="4"/>
      <c r="G342" s="25"/>
      <c r="H342" s="4"/>
      <c r="I342" s="4"/>
    </row>
    <row r="343" ht="20.25" customHeight="1" spans="6:9">
      <c r="F343" s="4"/>
      <c r="G343" s="25"/>
      <c r="H343" s="4"/>
      <c r="I343" s="4"/>
    </row>
    <row r="344" ht="20.25" customHeight="1" spans="6:9">
      <c r="F344" s="4"/>
      <c r="G344" s="25"/>
      <c r="H344" s="4"/>
      <c r="I344" s="4"/>
    </row>
    <row r="345" ht="20.25" customHeight="1" spans="6:9">
      <c r="F345" s="4"/>
      <c r="G345" s="25"/>
      <c r="H345" s="4"/>
      <c r="I345" s="4"/>
    </row>
    <row r="346" ht="20.25" customHeight="1" spans="6:9">
      <c r="F346" s="4"/>
      <c r="G346" s="25"/>
      <c r="H346" s="4"/>
      <c r="I346" s="4"/>
    </row>
    <row r="347" ht="20.25" customHeight="1" spans="6:9">
      <c r="F347" s="4"/>
      <c r="G347" s="25"/>
      <c r="H347" s="4"/>
      <c r="I347" s="4"/>
    </row>
    <row r="348" ht="20.25" customHeight="1" spans="6:9">
      <c r="F348" s="4"/>
      <c r="G348" s="25"/>
      <c r="H348" s="4"/>
      <c r="I348" s="4"/>
    </row>
    <row r="349" ht="20.25" customHeight="1" spans="6:9">
      <c r="F349" s="4"/>
      <c r="G349" s="25"/>
      <c r="H349" s="4"/>
      <c r="I349" s="4"/>
    </row>
    <row r="350" ht="20.25" customHeight="1" spans="6:9">
      <c r="F350" s="4"/>
      <c r="G350" s="25"/>
      <c r="H350" s="4"/>
      <c r="I350" s="4"/>
    </row>
    <row r="351" ht="20.25" customHeight="1" spans="6:9">
      <c r="F351" s="4"/>
      <c r="G351" s="25"/>
      <c r="H351" s="4"/>
      <c r="I351" s="4"/>
    </row>
    <row r="352" ht="20.25" customHeight="1" spans="6:9">
      <c r="F352" s="4"/>
      <c r="G352" s="25"/>
      <c r="H352" s="4"/>
      <c r="I352" s="4"/>
    </row>
    <row r="353" ht="20.25" customHeight="1" spans="6:9">
      <c r="F353" s="4"/>
      <c r="G353" s="25"/>
      <c r="H353" s="4"/>
      <c r="I353" s="4"/>
    </row>
    <row r="354" ht="20.25" customHeight="1" spans="6:9">
      <c r="F354" s="4"/>
      <c r="G354" s="25"/>
      <c r="H354" s="4"/>
      <c r="I354" s="4"/>
    </row>
    <row r="355" ht="20.25" customHeight="1" spans="6:9">
      <c r="F355" s="4"/>
      <c r="G355" s="25"/>
      <c r="H355" s="4"/>
      <c r="I355" s="4"/>
    </row>
    <row r="356" ht="20.25" customHeight="1" spans="6:9">
      <c r="F356" s="4"/>
      <c r="G356" s="25"/>
      <c r="H356" s="4"/>
      <c r="I356" s="4"/>
    </row>
    <row r="357" ht="20.25" customHeight="1" spans="6:9">
      <c r="F357" s="4"/>
      <c r="G357" s="25"/>
      <c r="H357" s="4"/>
      <c r="I357" s="4"/>
    </row>
    <row r="358" ht="20.25" customHeight="1" spans="6:9">
      <c r="F358" s="4"/>
      <c r="G358" s="25"/>
      <c r="H358" s="4"/>
      <c r="I358" s="4"/>
    </row>
    <row r="359" ht="20.25" customHeight="1" spans="6:9">
      <c r="F359" s="4"/>
      <c r="G359" s="25"/>
      <c r="H359" s="4"/>
      <c r="I359" s="4"/>
    </row>
    <row r="360" ht="20.25" customHeight="1" spans="6:9">
      <c r="F360" s="4"/>
      <c r="G360" s="25"/>
      <c r="H360" s="4"/>
      <c r="I360" s="4"/>
    </row>
    <row r="361" ht="20.25" customHeight="1" spans="6:9">
      <c r="F361" s="4"/>
      <c r="G361" s="25"/>
      <c r="H361" s="4"/>
      <c r="I361" s="4"/>
    </row>
    <row r="362" ht="20.25" customHeight="1" spans="6:9">
      <c r="F362" s="4"/>
      <c r="G362" s="25"/>
      <c r="H362" s="4"/>
      <c r="I362" s="4"/>
    </row>
    <row r="363" ht="20.25" customHeight="1" spans="6:9">
      <c r="F363" s="4"/>
      <c r="G363" s="25"/>
      <c r="H363" s="4"/>
      <c r="I363" s="4"/>
    </row>
    <row r="364" ht="20.25" customHeight="1" spans="6:9">
      <c r="F364" s="4"/>
      <c r="G364" s="25"/>
      <c r="H364" s="4"/>
      <c r="I364" s="4"/>
    </row>
    <row r="365" ht="20.25" customHeight="1" spans="6:9">
      <c r="F365" s="4"/>
      <c r="G365" s="25"/>
      <c r="H365" s="4"/>
      <c r="I365" s="4"/>
    </row>
    <row r="366" ht="20.25" customHeight="1" spans="6:9">
      <c r="F366" s="4"/>
      <c r="G366" s="25"/>
      <c r="H366" s="4"/>
      <c r="I366" s="4"/>
    </row>
    <row r="367" ht="20.25" customHeight="1" spans="6:9">
      <c r="F367" s="4"/>
      <c r="G367" s="25"/>
      <c r="H367" s="4"/>
      <c r="I367" s="4"/>
    </row>
    <row r="368" ht="20.25" customHeight="1" spans="6:9">
      <c r="F368" s="4"/>
      <c r="G368" s="25"/>
      <c r="H368" s="4"/>
      <c r="I368" s="4"/>
    </row>
    <row r="369" ht="20.25" customHeight="1" spans="6:9">
      <c r="F369" s="4"/>
      <c r="G369" s="25"/>
      <c r="H369" s="4"/>
      <c r="I369" s="4"/>
    </row>
    <row r="370" ht="20.25" customHeight="1" spans="6:9">
      <c r="F370" s="4"/>
      <c r="G370" s="25"/>
      <c r="H370" s="4"/>
      <c r="I370" s="4"/>
    </row>
    <row r="371" ht="20.25" customHeight="1" spans="6:9">
      <c r="F371" s="4"/>
      <c r="G371" s="25"/>
      <c r="H371" s="4"/>
      <c r="I371" s="4"/>
    </row>
    <row r="372" ht="20.25" customHeight="1" spans="6:9">
      <c r="F372" s="4"/>
      <c r="G372" s="25"/>
      <c r="H372" s="4"/>
      <c r="I372" s="4"/>
    </row>
    <row r="373" ht="20.25" customHeight="1" spans="6:9">
      <c r="F373" s="4"/>
      <c r="G373" s="25"/>
      <c r="H373" s="4"/>
      <c r="I373" s="4"/>
    </row>
  </sheetData>
  <sheetProtection formatCells="0" formatColumns="0" formatRows="0" sort="0" autoFilter="0" pivotTables="0"/>
  <mergeCells count="19">
    <mergeCell ref="A1:K1"/>
    <mergeCell ref="E2:G2"/>
    <mergeCell ref="H2:I2"/>
    <mergeCell ref="K2:O2"/>
    <mergeCell ref="E3:F3"/>
    <mergeCell ref="A2:A4"/>
    <mergeCell ref="B2:B4"/>
    <mergeCell ref="C2:C4"/>
    <mergeCell ref="D2:D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