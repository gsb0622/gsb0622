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3APNW3jPwJRkr3dAP2ce8mxrQdYXH/c2RUP/p7+z5C7MazGWpk3otx6wQKoMRzHXUquWu912yA8jYilrcT8Asg==" workbookSaltValue="t8UMRBcy6PHa8yS7gh1Rmw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<sst xmlns="http://schemas.openxmlformats.org/spreadsheetml/2006/main" count="89">
  <si>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</si>
  <si>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</si>
  <si>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</si>
  <si>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</si>
  <si>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模板编号</t>
  </si>
  <si>
    <t>科学</t>
  </si>
  <si>
    <t>严谨</t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</si>
  <si>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</si>
  <si>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</si>
  <si>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任务号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</si>
  <si>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</si>
  <si>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</si>
  <si>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任务名称</t>
  </si>
  <si>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</si>
  <si>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</si>
  <si>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检测日期</t>
  </si>
  <si>
    <t>安全</t>
  </si>
  <si>
    <t>高效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</si>
  <si>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</si>
  <si>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>Agilent7890B/5977A</t>
  </si>
  <si>
    <t>样品类别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</si>
  <si>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</si>
  <si>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>Agilent6890N/5975B</t>
  </si>
  <si>
    <t>检测地点</t>
  </si>
  <si>
    <t>302室</t>
  </si>
  <si>
    <t>检测依据</t>
  </si>
  <si>
    <t>温度(℃)</t>
  </si>
  <si>
    <t>湿度(%)</t>
  </si>
  <si>
    <t>检出限(ng/g)</t>
  </si>
  <si>
    <r>
      <rPr>
        <sz val="11"/>
        <color theme="1"/>
        <rFont val="Calibri"/>
        <charset val="134"/>
      </rPr>
      <t>α</t>
    </r>
    <r>
      <rPr>
        <sz val="11"/>
        <color theme="1"/>
        <rFont val="Calibri"/>
        <charset val="134"/>
      </rPr>
      <t xml:space="preserve">-666:0.027;    </t>
    </r>
    <r>
      <rPr>
        <sz val="11"/>
        <color theme="1"/>
        <rFont val="Calibri"/>
        <charset val="134"/>
      </rPr>
      <t>γ</t>
    </r>
    <r>
      <rPr>
        <sz val="11"/>
        <color theme="1"/>
        <rFont val="Calibri"/>
        <charset val="134"/>
      </rPr>
      <t xml:space="preserve">-666:0.026;
</t>
    </r>
    <r>
      <rPr>
        <sz val="11"/>
        <color theme="1"/>
        <rFont val="Calibri"/>
        <charset val="134"/>
      </rPr>
      <t>β</t>
    </r>
    <r>
      <rPr>
        <sz val="11"/>
        <color theme="1"/>
        <rFont val="Calibri"/>
        <charset val="134"/>
      </rPr>
      <t xml:space="preserve">-666:0.052;    </t>
    </r>
    <r>
      <rPr>
        <sz val="11"/>
        <color theme="1"/>
        <rFont val="Calibri"/>
        <charset val="134"/>
      </rPr>
      <t>δ</t>
    </r>
    <r>
      <rPr>
        <sz val="11"/>
        <color theme="1"/>
        <rFont val="Calibri"/>
        <charset val="134"/>
      </rPr>
      <t>-666:0.024;
p,p'-DDE:0.028; o,p'-DDT:0.038;
p,p'-DDD:0.041; p,p'-DDT;0.041.</t>
    </r>
  </si>
  <si>
    <r>
      <rPr>
        <b/>
        <sz val="11"/>
        <color theme="1"/>
        <rFont val="宋体"/>
        <charset val="134"/>
      </rPr>
      <t>说明：</t>
    </r>
  </si>
  <si>
    <t>定量限</t>
  </si>
  <si>
    <t>/</t>
  </si>
  <si>
    <r>
      <rPr>
        <sz val="11"/>
        <color rgb="FFFF0000"/>
        <rFont val="宋体"/>
        <charset val="134"/>
      </rPr>
      <t>为需填写内容</t>
    </r>
  </si>
  <si>
    <t>仪器名称编号</t>
  </si>
  <si>
    <t>气相色谱仪AS007</t>
  </si>
  <si>
    <r>
      <rPr>
        <sz val="11"/>
        <color rgb="FFFF0000"/>
        <rFont val="宋体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</si>
  <si>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</si>
  <si>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</si>
  <si>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</si>
  <si>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</si>
  <si>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</si>
  <si>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</si>
  <si>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</si>
  <si>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</si>
  <si>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</si>
  <si>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 xml:space="preserve"> DB-1701(30m×0.25mm×0.25μm)
 HP-5 (30m×0.32mm×0.25μm)</t>
  </si>
  <si>
    <t>检测器温度(℃)</t>
  </si>
  <si>
    <t>不分流进样</t>
  </si>
  <si>
    <t>进样方式</t>
  </si>
  <si>
    <r>
      <rPr>
        <sz val="11"/>
        <color theme="1"/>
        <rFont val="宋体"/>
        <charset val="134"/>
      </rPr>
      <t>分流进样（分流比</t>
    </r>
    <r>
      <rPr>
        <sz val="11"/>
        <color theme="1"/>
        <rFont val="Times New Roman"/>
        <charset val="134"/>
      </rPr>
      <t xml:space="preserve">  :  </t>
    </r>
    <r>
      <rPr>
        <sz val="11"/>
        <color theme="1"/>
        <rFont val="宋体"/>
        <charset val="134"/>
      </rPr>
      <t>）</t>
    </r>
  </si>
  <si>
    <t>进样口温度(℃)</t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</si>
  <si>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</si>
  <si>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</si>
  <si>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</si>
  <si>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柱温程序</t>
  </si>
  <si>
    <t>初温100℃，保持1min，以15℃/min升至275℃，保持10min。</t>
  </si>
  <si>
    <t>标准溶液</t>
  </si>
  <si>
    <r>
      <rPr>
        <sz val="11"/>
        <color theme="1"/>
        <rFont val="宋体"/>
        <charset val="134"/>
      </rPr>
      <t>标准工作溶液浓度(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g/L)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</si>
  <si>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</si>
  <si>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</si>
  <si>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</si>
  <si>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</si>
  <si>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</si>
  <si>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</si>
  <si>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</si>
  <si>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</si>
  <si>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</si>
  <si>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</si>
  <si>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</si>
  <si>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</si>
  <si>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</si>
  <si>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取样量（）</t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</si>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</sst>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  <numFmt numFmtId="177" formatCode="0.0_ ;[Red]\-0.0\ "/>
    <numFmt numFmtId="178" formatCode="0.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theme="1"/>
      <name val="Calibri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7" fillId="21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30" fillId="0" borderId="17" applyNumberFormat="0" applyFill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28" fillId="13" borderId="19" applyNumberFormat="0" applyAlignment="0" applyProtection="0">
      <alignment vertical="center"/>
    </xf>
    <xf numFmtId="0" fontId="18" fillId="13" borderId="13" applyNumberFormat="0" applyAlignment="0" applyProtection="0">
      <alignment vertical="center"/>
    </xf>
    <xf numFmtId="0" fontId="22" fillId="17" borderId="16" applyNumberFormat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35" fillId="0" borderId="0"/>
  </cellStyleXfs>
  <cellXfs count="12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7" borderId="0" xfId="49" applyNumberFormat="1" applyFont="1" applyFill="1" applyAlignment="1" applyProtection="1">
      <alignment horizontal="left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2" xfId="0" applyNumberFormat="1" applyFont="1" applyFill="1" applyBorder="1" applyAlignment="1" applyProtection="1">
      <alignment horizontal="center" vertical="center"/>
      <protection locked="0"/>
    </xf>
    <xf numFmtId="49" fontId="3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8" borderId="7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0" xfId="0" applyFont="1" applyFill="1" applyAlignment="1">
      <alignment horizontal="center" vertical="center"/>
    </xf>
    <xf numFmtId="0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7" fillId="7" borderId="5" xfId="49" applyNumberFormat="1" applyFont="1" applyFill="1" applyBorder="1" applyAlignment="1" applyProtection="1">
      <alignment horizontal="left" vertical="center"/>
      <protection locked="0"/>
    </xf>
    <xf numFmtId="49" fontId="7" fillId="7" borderId="6" xfId="49" applyNumberFormat="1" applyFont="1" applyFill="1" applyBorder="1" applyAlignment="1" applyProtection="1">
      <alignment horizontal="left" vertical="center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</xf>
    <xf numFmtId="0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49" fontId="1" fillId="9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8" fillId="9" borderId="0" xfId="0" applyNumberFormat="1" applyFon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7" fontId="1" fillId="9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9" borderId="0" xfId="0" applyNumberFormat="1" applyFont="1" applyFill="1" applyBorder="1" applyAlignment="1" applyProtection="1">
      <alignment horizontal="center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0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176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8" borderId="3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8" borderId="2" xfId="0" applyNumberFormat="1" applyFont="1" applyFill="1" applyBorder="1" applyAlignment="1">
      <alignment horizontal="center" vertical="center"/>
    </xf>
    <xf numFmtId="49" fontId="13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8" borderId="7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1" fillId="4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8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8" borderId="7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4" fillId="9" borderId="0" xfId="0" applyNumberFormat="1" applyFont="1" applyFill="1" applyBorder="1" applyProtection="1"/>
    <xf numFmtId="49" fontId="9" fillId="9" borderId="0" xfId="0" applyNumberFormat="1" applyFont="1" applyFill="1" applyBorder="1" applyProtection="1"/>
    <xf numFmtId="49" fontId="15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2" fillId="2" borderId="0" xfId="0" applyNumberFormat="1" applyFont="1" applyFill="1" applyAlignment="1">
      <alignment vertical="center"/>
    </xf>
    <xf numFmtId="49" fontId="11" fillId="2" borderId="0" xfId="0" applyNumberFormat="1" applyFont="1" applyFill="1" applyAlignment="1">
      <alignment vertical="center"/>
    </xf>
    <xf numFmtId="49" fontId="11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Alignment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5571470" y="567055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8116550" y="539432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820270</xdr:colOff>
      <xdr:row>22</xdr:row>
      <xdr:rowOff>26894</xdr:rowOff>
    </xdr:from>
    <xdr:ext cx="65" cy="172227"/>
    <xdr:sp>
      <xdr:nvSpPr>
        <xdr:cNvPr id="4" name="文本框 3"/>
        <xdr:cNvSpPr txBox="1"/>
      </xdr:nvSpPr>
      <xdr:spPr>
        <a:xfrm>
          <a:off x="3502025" y="1041019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1080246</xdr:colOff>
      <xdr:row>22</xdr:row>
      <xdr:rowOff>89648</xdr:rowOff>
    </xdr:from>
    <xdr:ext cx="65" cy="172227"/>
    <xdr:sp>
      <xdr:nvSpPr>
        <xdr:cNvPr id="5" name="文本框 4"/>
        <xdr:cNvSpPr txBox="1"/>
      </xdr:nvSpPr>
      <xdr:spPr>
        <a:xfrm>
          <a:off x="8212455" y="1047305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Y27"/>
  <sheetViews>
    <sheetView tabSelected="1" zoomScale="85" zoomScaleNormal="85" workbookViewId="0">
      <selection activeCell="A8" sqref="A8"/>
    </sheetView>
  </sheetViews>
  <sheetFormatPr defaultColWidth="9" defaultRowHeight="20.25" customHeight="1"/>
  <cols>
    <col min="1" max="1" width="22.3333333333333" style="35" customWidth="1"/>
    <col min="2" max="2" width="16.7777777777778" style="35" customWidth="1"/>
    <col min="3" max="3" width="36.3333333333333" style="35" customWidth="1"/>
    <col min="4" max="4" width="19.2222222222222" style="35" customWidth="1"/>
    <col min="5" max="5" width="9.33333333333333" style="35" customWidth="1"/>
    <col min="6" max="6" width="35.4444444444444" style="2" customWidth="1"/>
    <col min="7" max="16" width="5.11111111111111" style="2" customWidth="1"/>
    <col min="17" max="17" width="33.4444444444444" style="2" customWidth="1"/>
    <col min="18" max="18" width="24.6666666666667" style="2" customWidth="1"/>
    <col min="19" max="21" width="9" style="2"/>
    <col min="22" max="22" width="27.3333333333333" style="2" customWidth="1"/>
    <col min="23" max="16384" width="9" style="2"/>
  </cols>
  <sheetData>
    <row r="1" customHeight="1" spans="1:24">
      <c r="A1" s="38" t="s">
        <v>0</v>
      </c>
      <c r="B1" s="38"/>
      <c r="C1" s="38"/>
      <c r="D1" s="38"/>
      <c r="E1" s="38"/>
      <c r="F1" s="39" t="s">
        <v>1</v>
      </c>
      <c r="G1" s="40"/>
      <c r="H1" s="40"/>
      <c r="I1" s="40"/>
      <c r="J1" s="40"/>
      <c r="K1" s="40"/>
      <c r="L1" s="40"/>
      <c r="M1" s="40"/>
      <c r="N1" s="40"/>
      <c r="O1" s="40"/>
      <c r="P1" s="106"/>
      <c r="Q1" s="116" t="s">
        <v>2</v>
      </c>
      <c r="R1" s="116" t="s">
        <v>3</v>
      </c>
      <c r="S1" s="117"/>
      <c r="T1" s="118"/>
      <c r="U1" s="118"/>
      <c r="V1" s="118"/>
      <c r="W1" s="118"/>
      <c r="X1" s="118"/>
    </row>
    <row r="2" s="1" customFormat="1" ht="21" customHeight="1" spans="1:24">
      <c r="A2" s="41" t="s">
        <v>4</v>
      </c>
      <c r="B2" s="42"/>
      <c r="C2" s="43"/>
      <c r="D2" s="43"/>
      <c r="E2" s="44"/>
      <c r="F2" s="45"/>
      <c r="G2" s="40"/>
      <c r="H2" s="46" t="s">
        <v>5</v>
      </c>
      <c r="I2" s="46"/>
      <c r="J2" s="46"/>
      <c r="K2" s="50"/>
      <c r="L2" s="46" t="s">
        <v>6</v>
      </c>
      <c r="M2" s="46"/>
      <c r="N2" s="46"/>
      <c r="O2" s="40"/>
      <c r="P2" s="106"/>
      <c r="Q2" s="116" t="s">
        <v>7</v>
      </c>
      <c r="R2" s="116" t="s">
        <v>8</v>
      </c>
      <c r="S2" s="117"/>
      <c r="T2" s="112"/>
      <c r="U2" s="112"/>
      <c r="V2" s="112"/>
      <c r="W2" s="112"/>
      <c r="X2" s="112"/>
    </row>
    <row r="3" s="1" customFormat="1" ht="21" customHeight="1" spans="1:24">
      <c r="A3" s="41" t="s">
        <v>9</v>
      </c>
      <c r="B3" s="47"/>
      <c r="C3" s="48"/>
      <c r="D3" s="48"/>
      <c r="E3" s="49"/>
      <c r="F3" s="45"/>
      <c r="G3" s="40"/>
      <c r="H3" s="46"/>
      <c r="I3" s="46"/>
      <c r="J3" s="46"/>
      <c r="K3" s="50"/>
      <c r="L3" s="46"/>
      <c r="M3" s="46"/>
      <c r="N3" s="46"/>
      <c r="O3" s="40"/>
      <c r="P3" s="106"/>
      <c r="Q3" s="116" t="s">
        <v>10</v>
      </c>
      <c r="R3" s="116" t="s">
        <v>11</v>
      </c>
      <c r="S3" s="117"/>
      <c r="T3" s="112"/>
      <c r="U3" s="112"/>
      <c r="V3" s="112"/>
      <c r="W3" s="112"/>
      <c r="X3" s="112"/>
    </row>
    <row r="4" s="1" customFormat="1" ht="21" customHeight="1" spans="1:24">
      <c r="A4" s="41" t="s">
        <v>12</v>
      </c>
      <c r="B4" s="47"/>
      <c r="C4" s="48"/>
      <c r="D4" s="48"/>
      <c r="E4" s="49"/>
      <c r="F4" s="45"/>
      <c r="G4" s="40"/>
      <c r="H4" s="50"/>
      <c r="I4" s="50"/>
      <c r="J4" s="50"/>
      <c r="K4" s="50"/>
      <c r="L4" s="50"/>
      <c r="M4" s="107"/>
      <c r="N4" s="107"/>
      <c r="O4" s="40"/>
      <c r="P4" s="106"/>
      <c r="Q4" s="116" t="s">
        <v>13</v>
      </c>
      <c r="R4" s="116" t="s">
        <v>14</v>
      </c>
      <c r="S4" s="117"/>
      <c r="T4" s="112"/>
      <c r="U4" s="112"/>
      <c r="V4" s="112"/>
      <c r="W4" s="112"/>
      <c r="X4" s="112"/>
    </row>
    <row r="5" s="1" customFormat="1" ht="21" customHeight="1" spans="1:24">
      <c r="A5" s="41" t="s">
        <v>15</v>
      </c>
      <c r="B5" s="47"/>
      <c r="C5" s="48"/>
      <c r="D5" s="48"/>
      <c r="E5" s="49"/>
      <c r="F5" s="45"/>
      <c r="G5" s="40"/>
      <c r="H5" s="46" t="s">
        <v>16</v>
      </c>
      <c r="I5" s="46"/>
      <c r="J5" s="46"/>
      <c r="K5" s="50"/>
      <c r="L5" s="46" t="s">
        <v>17</v>
      </c>
      <c r="M5" s="46"/>
      <c r="N5" s="46"/>
      <c r="O5" s="40"/>
      <c r="P5" s="106"/>
      <c r="Q5" s="116" t="s">
        <v>18</v>
      </c>
      <c r="R5" s="116" t="s">
        <v>19</v>
      </c>
      <c r="S5" s="117"/>
      <c r="T5" s="112"/>
      <c r="U5" s="112"/>
      <c r="V5" s="112"/>
      <c r="W5" s="112"/>
      <c r="X5" s="112"/>
    </row>
    <row r="6" s="1" customFormat="1" ht="21" customHeight="1" spans="1:24">
      <c r="A6" s="41" t="s">
        <v>20</v>
      </c>
      <c r="B6" s="51"/>
      <c r="C6" s="52"/>
      <c r="D6" s="52"/>
      <c r="E6" s="53"/>
      <c r="F6" s="54"/>
      <c r="G6" s="40"/>
      <c r="H6" s="46"/>
      <c r="I6" s="46"/>
      <c r="J6" s="46"/>
      <c r="K6" s="50"/>
      <c r="L6" s="46"/>
      <c r="M6" s="46"/>
      <c r="N6" s="46"/>
      <c r="O6" s="40"/>
      <c r="P6" s="106"/>
      <c r="Q6" s="116" t="s">
        <v>21</v>
      </c>
      <c r="R6" s="116" t="s">
        <v>22</v>
      </c>
      <c r="S6" s="117"/>
      <c r="T6" s="112"/>
      <c r="U6" s="112"/>
      <c r="V6" s="112"/>
      <c r="W6" s="112"/>
      <c r="X6" s="112"/>
    </row>
    <row r="7" s="1" customFormat="1" ht="21" customHeight="1" spans="1:25">
      <c r="A7" s="41" t="s">
        <v>23</v>
      </c>
      <c r="B7" s="51" t="s">
        <v>24</v>
      </c>
      <c r="C7" s="52"/>
      <c r="D7" s="52"/>
      <c r="E7" s="53"/>
      <c r="F7" s="54"/>
      <c r="G7" s="40"/>
      <c r="H7" s="46"/>
      <c r="I7" s="46"/>
      <c r="J7" s="46"/>
      <c r="K7" s="50"/>
      <c r="L7" s="46"/>
      <c r="M7" s="46"/>
      <c r="N7" s="46"/>
      <c r="O7" s="40"/>
      <c r="P7" s="106"/>
      <c r="Q7" s="119"/>
      <c r="R7" s="119"/>
      <c r="S7" s="112"/>
      <c r="T7" s="112"/>
      <c r="U7" s="117"/>
      <c r="V7" s="117"/>
      <c r="W7" s="117"/>
      <c r="X7" s="117"/>
      <c r="Y7" s="120"/>
    </row>
    <row r="8" s="1" customFormat="1" ht="37" customHeight="1" spans="1:25">
      <c r="A8" s="41" t="s">
        <v>25</v>
      </c>
      <c r="B8" s="55"/>
      <c r="C8" s="56"/>
      <c r="D8" s="56"/>
      <c r="E8" s="57"/>
      <c r="F8" s="54"/>
      <c r="G8" s="40"/>
      <c r="H8" s="58"/>
      <c r="I8" s="58"/>
      <c r="J8" s="58"/>
      <c r="K8" s="108"/>
      <c r="L8" s="58"/>
      <c r="M8" s="58"/>
      <c r="N8" s="58"/>
      <c r="O8" s="40"/>
      <c r="P8" s="106"/>
      <c r="Q8" s="119"/>
      <c r="R8" s="119"/>
      <c r="S8" s="112"/>
      <c r="T8" s="112"/>
      <c r="U8" s="117"/>
      <c r="Y8" s="120"/>
    </row>
    <row r="9" s="1" customFormat="1" ht="21" customHeight="1" spans="1:25">
      <c r="A9" s="41" t="s">
        <v>26</v>
      </c>
      <c r="B9" s="59"/>
      <c r="C9" s="60" t="s">
        <v>27</v>
      </c>
      <c r="D9" s="59"/>
      <c r="E9" s="59"/>
      <c r="F9" s="61"/>
      <c r="G9" s="2"/>
      <c r="H9" s="2"/>
      <c r="M9" s="2"/>
      <c r="N9" s="2"/>
      <c r="O9" s="2"/>
      <c r="P9" s="61"/>
      <c r="Q9" s="112"/>
      <c r="R9" s="112"/>
      <c r="S9" s="112"/>
      <c r="T9" s="112"/>
      <c r="U9" s="117"/>
      <c r="Y9" s="120"/>
    </row>
    <row r="10" s="1" customFormat="1" ht="76.2" customHeight="1" spans="1:25">
      <c r="A10" s="41" t="s">
        <v>28</v>
      </c>
      <c r="B10" s="62" t="s">
        <v>29</v>
      </c>
      <c r="C10" s="63"/>
      <c r="D10" s="63"/>
      <c r="E10" s="64"/>
      <c r="F10" s="61"/>
      <c r="G10" s="2"/>
      <c r="H10" s="2"/>
      <c r="I10" s="109" t="s">
        <v>30</v>
      </c>
      <c r="J10" s="110"/>
      <c r="K10" s="61"/>
      <c r="L10" s="61"/>
      <c r="M10" s="2"/>
      <c r="N10" s="2"/>
      <c r="O10" s="2"/>
      <c r="P10" s="61"/>
      <c r="Q10" s="112"/>
      <c r="R10" s="112"/>
      <c r="S10" s="112"/>
      <c r="T10" s="112"/>
      <c r="U10" s="117"/>
      <c r="Y10" s="120"/>
    </row>
    <row r="11" s="1" customFormat="1" ht="22.95" customHeight="1" spans="1:25">
      <c r="A11" s="41" t="s">
        <v>31</v>
      </c>
      <c r="B11" s="65" t="s">
        <v>32</v>
      </c>
      <c r="C11" s="66"/>
      <c r="D11" s="66"/>
      <c r="E11" s="67"/>
      <c r="F11" s="61"/>
      <c r="G11" s="61"/>
      <c r="H11" s="2"/>
      <c r="I11" s="111"/>
      <c r="J11" s="112" t="s">
        <v>33</v>
      </c>
      <c r="K11" s="61"/>
      <c r="L11" s="61"/>
      <c r="M11" s="61"/>
      <c r="N11" s="61"/>
      <c r="O11" s="61"/>
      <c r="P11" s="61"/>
      <c r="Q11" s="112"/>
      <c r="R11" s="112"/>
      <c r="S11" s="112"/>
      <c r="T11" s="112"/>
      <c r="U11" s="117"/>
      <c r="Y11" s="120"/>
    </row>
    <row r="12" s="1" customFormat="1" ht="49.2" customHeight="1" spans="1:25">
      <c r="A12" s="41" t="s">
        <v>34</v>
      </c>
      <c r="B12" s="68" t="s">
        <v>35</v>
      </c>
      <c r="C12" s="69"/>
      <c r="D12" s="69"/>
      <c r="E12" s="70"/>
      <c r="F12" s="71"/>
      <c r="G12" s="61"/>
      <c r="H12" s="2"/>
      <c r="I12" s="113"/>
      <c r="J12" s="112" t="s">
        <v>36</v>
      </c>
      <c r="K12" s="2"/>
      <c r="L12" s="2"/>
      <c r="M12" s="61"/>
      <c r="N12" s="61"/>
      <c r="O12" s="61"/>
      <c r="P12" s="61"/>
      <c r="Q12" s="112"/>
      <c r="R12" s="112"/>
      <c r="S12" s="112"/>
      <c r="T12" s="112"/>
      <c r="U12" s="117"/>
      <c r="Y12" s="120"/>
    </row>
    <row r="13" s="1" customFormat="1" ht="42.6" customHeight="1" spans="1:25">
      <c r="A13" s="41" t="s">
        <v>37</v>
      </c>
      <c r="B13" s="68" t="str">
        <f>IFERROR(VLOOKUP(B12,Q1:R6,2),"")</f>
        <v> Clarus 680</v>
      </c>
      <c r="C13" s="69"/>
      <c r="D13" s="69"/>
      <c r="E13" s="70"/>
      <c r="F13" s="72" t="s">
        <v>38</v>
      </c>
      <c r="G13" s="61"/>
      <c r="H13" s="2"/>
      <c r="I13" s="114"/>
      <c r="J13" s="112" t="s">
        <v>39</v>
      </c>
      <c r="K13" s="2"/>
      <c r="L13" s="2"/>
      <c r="M13" s="61"/>
      <c r="N13" s="61"/>
      <c r="O13" s="61"/>
      <c r="P13" s="61"/>
      <c r="Q13" s="112"/>
      <c r="R13" s="112"/>
      <c r="S13" s="112"/>
      <c r="T13" s="112"/>
      <c r="U13" s="117"/>
      <c r="Y13" s="120"/>
    </row>
    <row r="14" s="1" customFormat="1" ht="25.95" customHeight="1" spans="1:24">
      <c r="A14" s="41" t="s">
        <v>40</v>
      </c>
      <c r="B14" s="65"/>
      <c r="C14" s="73"/>
      <c r="D14" s="73"/>
      <c r="E14" s="74"/>
      <c r="F14" s="72" t="s">
        <v>41</v>
      </c>
      <c r="G14" s="61"/>
      <c r="H14" s="2"/>
      <c r="I14" s="115"/>
      <c r="J14" s="112"/>
      <c r="K14" s="2"/>
      <c r="L14" s="2"/>
      <c r="M14" s="61"/>
      <c r="N14" s="61"/>
      <c r="O14" s="61"/>
      <c r="P14" s="61"/>
      <c r="Q14" s="112"/>
      <c r="R14" s="112"/>
      <c r="S14" s="112"/>
      <c r="T14" s="112"/>
      <c r="U14" s="112"/>
      <c r="V14" s="112"/>
      <c r="W14" s="112"/>
      <c r="X14" s="112"/>
    </row>
    <row r="15" ht="25.35" customHeight="1" spans="1:24">
      <c r="A15" s="75" t="s">
        <v>42</v>
      </c>
      <c r="B15" s="76">
        <v>1</v>
      </c>
      <c r="C15" s="77"/>
      <c r="D15" s="77"/>
      <c r="E15" s="78"/>
      <c r="F15" s="72" t="s">
        <v>43</v>
      </c>
      <c r="G15" s="61"/>
      <c r="I15" s="115"/>
      <c r="J15" s="112"/>
      <c r="M15" s="61"/>
      <c r="N15" s="61"/>
      <c r="O15" s="61"/>
      <c r="P15" s="61"/>
      <c r="Q15" s="118"/>
      <c r="R15" s="118"/>
      <c r="S15" s="118"/>
      <c r="T15" s="118"/>
      <c r="U15" s="118"/>
      <c r="V15" s="118"/>
      <c r="W15" s="118"/>
      <c r="X15" s="118"/>
    </row>
    <row r="16" ht="74.4" customHeight="1" spans="1:16">
      <c r="A16" s="79" t="s">
        <v>44</v>
      </c>
      <c r="B16" s="75" t="s">
        <v>45</v>
      </c>
      <c r="C16" s="80" t="s">
        <v>46</v>
      </c>
      <c r="D16" s="75" t="s">
        <v>47</v>
      </c>
      <c r="E16" s="25">
        <v>300</v>
      </c>
      <c r="F16" s="81" t="s">
        <v>48</v>
      </c>
      <c r="G16" s="82"/>
      <c r="H16" s="37"/>
      <c r="I16" s="37"/>
      <c r="J16" s="37"/>
      <c r="K16" s="37"/>
      <c r="L16" s="82"/>
      <c r="M16" s="82"/>
      <c r="N16" s="82"/>
      <c r="O16" s="82"/>
      <c r="P16" s="82"/>
    </row>
    <row r="17" ht="51.6" customHeight="1" spans="1:6">
      <c r="A17" s="83"/>
      <c r="B17" s="75" t="s">
        <v>49</v>
      </c>
      <c r="C17" s="80" t="s">
        <v>50</v>
      </c>
      <c r="D17" s="75" t="s">
        <v>51</v>
      </c>
      <c r="E17" s="25">
        <v>260</v>
      </c>
      <c r="F17" s="84" t="s">
        <v>52</v>
      </c>
    </row>
    <row r="18" ht="25.2" customHeight="1" spans="1:5">
      <c r="A18" s="83"/>
      <c r="B18" s="75" t="s">
        <v>53</v>
      </c>
      <c r="C18" s="25">
        <v>0.9</v>
      </c>
      <c r="D18" s="75" t="s">
        <v>54</v>
      </c>
      <c r="E18" s="85">
        <v>1</v>
      </c>
    </row>
    <row r="19" ht="43.2" customHeight="1" spans="1:5">
      <c r="A19" s="86"/>
      <c r="B19" s="75" t="s">
        <v>55</v>
      </c>
      <c r="C19" s="87" t="s">
        <v>56</v>
      </c>
      <c r="D19" s="88"/>
      <c r="E19" s="89"/>
    </row>
    <row r="20" ht="112.2" customHeight="1" spans="1:5">
      <c r="A20" s="90" t="s">
        <v>57</v>
      </c>
      <c r="B20" s="91" t="s">
        <v>58</v>
      </c>
      <c r="C20" s="91"/>
      <c r="D20" s="91" t="s">
        <v>59</v>
      </c>
      <c r="E20" s="92"/>
    </row>
    <row r="21" s="37" customFormat="1" ht="38.25" customHeight="1" spans="1:16">
      <c r="A21" s="93"/>
      <c r="B21" s="91" t="s">
        <v>60</v>
      </c>
      <c r="C21" s="94"/>
      <c r="D21" s="91" t="s">
        <v>61</v>
      </c>
      <c r="E21" s="9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7" customFormat="1" ht="26.25" customHeight="1" spans="1:16">
      <c r="A22" s="95" t="s">
        <v>62</v>
      </c>
      <c r="B22" s="96">
        <v>0</v>
      </c>
      <c r="C22" s="97"/>
      <c r="D22" s="97"/>
      <c r="E22" s="98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3.45" customHeight="1" spans="1:5">
      <c r="A23" s="99" t="s">
        <v>63</v>
      </c>
      <c r="B23" s="100" t="s">
        <v>64</v>
      </c>
      <c r="C23" s="101"/>
      <c r="D23" s="101"/>
      <c r="E23" s="102"/>
    </row>
    <row r="24" customHeight="1" spans="1:5">
      <c r="A24" s="103" t="s">
        <v>65</v>
      </c>
      <c r="B24" s="104"/>
      <c r="C24" s="104"/>
      <c r="D24" s="104"/>
      <c r="E24" s="105"/>
    </row>
    <row r="25" customHeight="1" spans="1:5">
      <c r="A25" s="41" t="s">
        <v>66</v>
      </c>
      <c r="B25" s="3"/>
      <c r="C25" s="3"/>
      <c r="D25" s="3"/>
      <c r="E25" s="3"/>
    </row>
    <row r="26" customHeight="1" spans="1:5">
      <c r="A26" s="41" t="s">
        <v>67</v>
      </c>
      <c r="B26" s="3"/>
      <c r="C26" s="3"/>
      <c r="D26" s="3"/>
      <c r="E26" s="3"/>
    </row>
    <row r="27" customHeight="1" spans="1:5">
      <c r="A27" s="41" t="s">
        <v>68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2:E12">
      <formula1>$Q$1:$Q$6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workbookViewId="0">
      <selection activeCell="D6" sqref="D6"/>
    </sheetView>
  </sheetViews>
  <sheetFormatPr defaultColWidth="9" defaultRowHeight="13.8"/>
  <cols>
    <col min="1" max="1" width="9" style="2"/>
    <col min="2" max="2" width="15.1111111111111" style="3" customWidth="1"/>
    <col min="3" max="5" width="12.4444444444444" style="4" customWidth="1"/>
    <col min="6" max="7" width="14.1111111111111" style="5" customWidth="1"/>
    <col min="8" max="8" width="11.4444444444444" style="5" customWidth="1"/>
    <col min="9" max="9" width="13.7777777777778" style="5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69</v>
      </c>
      <c r="B1" s="7"/>
      <c r="C1" s="7"/>
      <c r="D1" s="7"/>
      <c r="E1" s="7"/>
      <c r="F1" s="7"/>
      <c r="G1" s="7"/>
      <c r="H1" s="7"/>
      <c r="I1" s="7"/>
      <c r="J1" s="26"/>
      <c r="K1" s="26"/>
      <c r="L1" s="26"/>
      <c r="M1" s="26"/>
      <c r="N1" s="26"/>
      <c r="O1" s="27"/>
    </row>
    <row r="2" s="1" customFormat="1" ht="34.2" customHeight="1" spans="1:28">
      <c r="A2" s="8" t="s">
        <v>70</v>
      </c>
      <c r="B2" s="8" t="s">
        <v>71</v>
      </c>
      <c r="C2" s="9" t="s">
        <v>72</v>
      </c>
      <c r="D2" s="9" t="s">
        <v>73</v>
      </c>
      <c r="E2" s="10" t="s">
        <v>74</v>
      </c>
      <c r="F2" s="11"/>
      <c r="G2" s="12"/>
      <c r="H2" s="10" t="s">
        <v>75</v>
      </c>
      <c r="I2" s="12"/>
      <c r="J2" s="28" t="s">
        <v>76</v>
      </c>
      <c r="K2" s="28"/>
      <c r="L2" s="28"/>
      <c r="M2" s="28"/>
      <c r="N2" s="28"/>
      <c r="O2" s="29" t="s">
        <v>77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7.6" customHeight="1" spans="1:28">
      <c r="A3" s="13"/>
      <c r="B3" s="13"/>
      <c r="C3" s="14"/>
      <c r="D3" s="14"/>
      <c r="E3" s="15" t="s">
        <v>78</v>
      </c>
      <c r="F3" s="16"/>
      <c r="G3" s="17" t="s">
        <v>79</v>
      </c>
      <c r="H3" s="18" t="s">
        <v>80</v>
      </c>
      <c r="I3" s="18" t="s">
        <v>81</v>
      </c>
      <c r="J3" s="28" t="s">
        <v>82</v>
      </c>
      <c r="K3" s="30" t="s">
        <v>83</v>
      </c>
      <c r="L3" s="28" t="s">
        <v>84</v>
      </c>
      <c r="M3" s="28" t="s">
        <v>85</v>
      </c>
      <c r="N3" s="31" t="s">
        <v>86</v>
      </c>
      <c r="O3" s="29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44.4" customHeight="1" spans="1:28">
      <c r="A4" s="19"/>
      <c r="B4" s="19"/>
      <c r="C4" s="20"/>
      <c r="D4" s="20"/>
      <c r="E4" s="21" t="s">
        <v>87</v>
      </c>
      <c r="F4" s="22" t="s">
        <v>88</v>
      </c>
      <c r="G4" s="23"/>
      <c r="H4" s="24"/>
      <c r="I4" s="24"/>
      <c r="J4" s="28"/>
      <c r="K4" s="32"/>
      <c r="L4" s="33"/>
      <c r="M4" s="33"/>
      <c r="N4" s="34"/>
      <c r="O4" s="29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F5" s="4"/>
      <c r="G5" s="25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ht="20.25" customHeight="1" spans="1:9">
      <c r="A6" s="3"/>
      <c r="F6" s="4"/>
      <c r="G6" s="25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ht="20.25" customHeight="1" spans="1:9">
      <c r="A7" s="3"/>
      <c r="F7" s="4"/>
      <c r="G7" s="25" t="str">
        <f t="shared" si="0"/>
        <v/>
      </c>
      <c r="H7" s="4"/>
      <c r="I7" s="4" t="str">
        <f>IFERROR(IF(H7="ND","ND",XiuYue((((H7-基础页!$B$22)*基础页!$B$15/C7)),3,-1,9999)),"")</f>
        <v/>
      </c>
    </row>
    <row r="8" ht="20.25" customHeight="1" spans="1:9">
      <c r="A8" s="3"/>
      <c r="F8" s="4"/>
      <c r="G8" s="25" t="str">
        <f t="shared" si="0"/>
        <v/>
      </c>
      <c r="H8" s="4"/>
      <c r="I8" s="4" t="str">
        <f>IFERROR(IF(H8="ND","ND",XiuYue((((H8-基础页!$B$22)*基础页!$B$15/C8)),3,-1,9999)),"")</f>
        <v/>
      </c>
    </row>
    <row r="9" ht="20.25" customHeight="1" spans="1:9">
      <c r="A9" s="3"/>
      <c r="F9" s="4"/>
      <c r="G9" s="25" t="str">
        <f t="shared" si="0"/>
        <v/>
      </c>
      <c r="H9" s="4"/>
      <c r="I9" s="4" t="str">
        <f>IFERROR(IF(H9="ND","ND",XiuYue((((H9-基础页!$B$22)*基础页!$B$15/C9)),3,-1,9999)),"")</f>
        <v/>
      </c>
    </row>
    <row r="10" ht="20.25" customHeight="1" spans="1:9">
      <c r="A10" s="3"/>
      <c r="F10" s="4"/>
      <c r="G10" s="25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ht="20.25" customHeight="1" spans="1:9">
      <c r="A11" s="3"/>
      <c r="F11" s="4"/>
      <c r="G11" s="25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ht="20.25" customHeight="1" spans="1:9">
      <c r="A12" s="3"/>
      <c r="F12" s="4"/>
      <c r="G12" s="25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ht="20.25" customHeight="1" spans="1:9">
      <c r="A13" s="3"/>
      <c r="F13" s="4"/>
      <c r="G13" s="25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ht="20.25" customHeight="1" spans="1:9">
      <c r="A14" s="3"/>
      <c r="F14" s="4"/>
      <c r="G14" s="25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ht="20.25" customHeight="1" spans="1:9">
      <c r="A15" s="3"/>
      <c r="F15" s="4"/>
      <c r="G15" s="25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ht="20.25" customHeight="1" spans="1:9">
      <c r="A16" s="3"/>
      <c r="F16" s="4"/>
      <c r="G16" s="25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ht="20.25" customHeight="1" spans="1:9">
      <c r="A17" s="3"/>
      <c r="F17" s="4"/>
      <c r="G17" s="25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ht="20.25" customHeight="1" spans="1:9">
      <c r="A18" s="3"/>
      <c r="F18" s="4"/>
      <c r="G18" s="25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ht="20.25" customHeight="1" spans="1:9">
      <c r="A19" s="3"/>
      <c r="F19" s="4"/>
      <c r="G19" s="25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ht="20.25" customHeight="1" spans="1:9">
      <c r="A20" s="3"/>
      <c r="F20" s="4"/>
      <c r="G20" s="25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ht="20.25" customHeight="1" spans="1:9">
      <c r="A21" s="3"/>
      <c r="F21" s="4"/>
      <c r="G21" s="25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ht="20.25" customHeight="1" spans="1:9">
      <c r="A22" s="3"/>
      <c r="F22" s="4"/>
      <c r="G22" s="25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ht="20.25" customHeight="1" spans="1:9">
      <c r="A23" s="3"/>
      <c r="F23" s="4"/>
      <c r="G23" s="25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ht="20.25" customHeight="1" spans="1:9">
      <c r="A24" s="3"/>
      <c r="F24" s="4"/>
      <c r="G24" s="25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ht="20.25" customHeight="1" spans="1:9">
      <c r="A25" s="3"/>
      <c r="F25" s="4"/>
      <c r="G25" s="25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ht="20.25" customHeight="1" spans="1:9">
      <c r="A26" s="3"/>
      <c r="F26" s="4"/>
      <c r="G26" s="25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ht="20.25" customHeight="1" spans="1:9">
      <c r="A27" s="3"/>
      <c r="F27" s="4"/>
      <c r="G27" s="25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ht="20.25" customHeight="1" spans="1:9">
      <c r="A28" s="3"/>
      <c r="F28" s="4"/>
      <c r="G28" s="25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ht="20.25" customHeight="1" spans="1:9">
      <c r="A29" s="3"/>
      <c r="F29" s="4"/>
      <c r="G29" s="25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ht="20.25" customHeight="1" spans="1:9">
      <c r="A30" s="3"/>
      <c r="F30" s="4"/>
      <c r="G30" s="25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ht="20.25" customHeight="1" spans="1:9">
      <c r="A31" s="3"/>
      <c r="F31" s="4"/>
      <c r="G31" s="25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ht="20.25" customHeight="1" spans="1:9">
      <c r="A32" s="3"/>
      <c r="F32" s="4"/>
      <c r="G32" s="25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ht="20.25" customHeight="1" spans="1:9">
      <c r="A33" s="3"/>
      <c r="F33" s="4"/>
      <c r="G33" s="25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ht="20.25" customHeight="1" spans="1:9">
      <c r="A34" s="3"/>
      <c r="F34" s="4"/>
      <c r="G34" s="25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ht="20.25" customHeight="1" spans="1:9">
      <c r="A35" s="3"/>
      <c r="F35" s="4"/>
      <c r="G35" s="25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ht="20.25" customHeight="1" spans="1:9">
      <c r="A36" s="3"/>
      <c r="F36" s="4"/>
      <c r="G36" s="25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ht="20.25" customHeight="1" spans="1:9">
      <c r="A37" s="3"/>
      <c r="F37" s="4"/>
      <c r="G37" s="25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ht="20.25" customHeight="1" spans="1:9">
      <c r="A38" s="3"/>
      <c r="F38" s="4"/>
      <c r="G38" s="25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ht="20.25" customHeight="1" spans="1:9">
      <c r="A39" s="3"/>
      <c r="F39" s="4"/>
      <c r="G39" s="25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ht="20.25" customHeight="1" spans="1:9">
      <c r="A40" s="3"/>
      <c r="F40" s="4"/>
      <c r="G40" s="25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ht="20.25" customHeight="1" spans="1:9">
      <c r="A41" s="3"/>
      <c r="F41" s="4"/>
      <c r="G41" s="25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ht="20.25" customHeight="1" spans="1:9">
      <c r="A42" s="3"/>
      <c r="F42" s="4"/>
      <c r="G42" s="25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ht="20.25" customHeight="1" spans="1:9">
      <c r="A43" s="3"/>
      <c r="F43" s="4"/>
      <c r="G43" s="25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ht="20.25" customHeight="1" spans="1:9">
      <c r="A44" s="3"/>
      <c r="F44" s="4"/>
      <c r="G44" s="25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ht="20.25" customHeight="1" spans="1:9">
      <c r="A45" s="3"/>
      <c r="F45" s="4"/>
      <c r="G45" s="25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ht="20.25" customHeight="1" spans="1:9">
      <c r="A46" s="3"/>
      <c r="F46" s="4"/>
      <c r="G46" s="25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ht="20.25" customHeight="1" spans="1:9">
      <c r="A47" s="3"/>
      <c r="F47" s="4"/>
      <c r="G47" s="25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ht="20.25" customHeight="1" spans="1:9">
      <c r="A48" s="3"/>
      <c r="F48" s="4"/>
      <c r="G48" s="25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ht="20.25" customHeight="1" spans="1:9">
      <c r="A49" s="3"/>
      <c r="F49" s="4"/>
      <c r="G49" s="25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ht="20.25" customHeight="1" spans="1:9">
      <c r="A50" s="3"/>
      <c r="F50" s="4"/>
      <c r="G50" s="25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ht="20.25" customHeight="1" spans="1:9">
      <c r="A51" s="3"/>
      <c r="F51" s="4"/>
      <c r="G51" s="25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ht="20.25" customHeight="1" spans="1:9">
      <c r="A52" s="3"/>
      <c r="F52" s="4"/>
      <c r="G52" s="25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ht="20.25" customHeight="1" spans="1:9">
      <c r="A53" s="3"/>
      <c r="F53" s="4"/>
      <c r="G53" s="25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ht="20.25" customHeight="1" spans="1:9">
      <c r="A54" s="3"/>
      <c r="F54" s="4"/>
      <c r="G54" s="25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ht="20.25" customHeight="1" spans="1:9">
      <c r="A55" s="3"/>
      <c r="F55" s="4"/>
      <c r="G55" s="25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ht="20.25" customHeight="1" spans="1:9">
      <c r="A56" s="3"/>
      <c r="F56" s="4"/>
      <c r="G56" s="25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ht="20.25" customHeight="1" spans="1:9">
      <c r="A57" s="3"/>
      <c r="F57" s="4"/>
      <c r="G57" s="25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ht="20.25" customHeight="1" spans="1:9">
      <c r="A58" s="3"/>
      <c r="F58" s="4"/>
      <c r="G58" s="25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ht="20.25" customHeight="1" spans="1:9">
      <c r="A59" s="3"/>
      <c r="F59" s="4"/>
      <c r="G59" s="25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ht="20.25" customHeight="1" spans="1:9">
      <c r="A60" s="3"/>
      <c r="F60" s="4"/>
      <c r="G60" s="25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ht="20.25" customHeight="1" spans="1:9">
      <c r="A61" s="3"/>
      <c r="F61" s="4"/>
      <c r="G61" s="25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ht="20.25" customHeight="1" spans="1:9">
      <c r="A62" s="3"/>
      <c r="F62" s="4"/>
      <c r="G62" s="25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ht="20.25" customHeight="1" spans="1:9">
      <c r="A63" s="3"/>
      <c r="F63" s="4"/>
      <c r="G63" s="25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ht="20.25" customHeight="1" spans="1:9">
      <c r="A64" s="3"/>
      <c r="F64" s="4"/>
      <c r="G64" s="25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ht="20.25" customHeight="1" spans="1:9">
      <c r="A65" s="3"/>
      <c r="F65" s="4"/>
      <c r="G65" s="25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ht="20.25" customHeight="1" spans="1:9">
      <c r="A66" s="3"/>
      <c r="F66" s="4"/>
      <c r="G66" s="25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ht="20.25" customHeight="1" spans="1:9">
      <c r="A67" s="3"/>
      <c r="F67" s="4"/>
      <c r="G67" s="25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ht="20.25" customHeight="1" spans="1:9">
      <c r="A68" s="3"/>
      <c r="F68" s="4"/>
      <c r="G68" s="25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ht="20.25" customHeight="1" spans="1:9">
      <c r="A69" s="3"/>
      <c r="F69" s="4"/>
      <c r="G69" s="25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ht="20.25" customHeight="1" spans="1:9">
      <c r="A70" s="3"/>
      <c r="F70" s="4"/>
      <c r="G70" s="25" t="str">
        <f t="shared" ref="G70:G121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ht="20.25" customHeight="1" spans="1:9">
      <c r="A71" s="3"/>
      <c r="F71" s="4"/>
      <c r="G71" s="25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ht="20.25" customHeight="1" spans="1:9">
      <c r="A72" s="3"/>
      <c r="F72" s="4"/>
      <c r="G72" s="25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ht="20.25" customHeight="1" spans="1:9">
      <c r="A73" s="35"/>
      <c r="F73" s="4"/>
      <c r="G73" s="25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ht="20.25" customHeight="1" spans="1:9">
      <c r="A74" s="35"/>
      <c r="F74" s="4"/>
      <c r="G74" s="25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ht="20.25" customHeight="1" spans="1:9">
      <c r="A75" s="35"/>
      <c r="F75" s="4"/>
      <c r="G75" s="25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ht="20.25" customHeight="1" spans="1:9">
      <c r="A76" s="35"/>
      <c r="F76" s="4"/>
      <c r="G76" s="25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ht="20.25" customHeight="1" spans="1:9">
      <c r="A77" s="35"/>
      <c r="F77" s="4"/>
      <c r="G77" s="25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ht="20.25" customHeight="1" spans="1:9">
      <c r="A78" s="35"/>
      <c r="F78" s="4"/>
      <c r="G78" s="25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ht="20.25" customHeight="1" spans="1:9">
      <c r="A79" s="35"/>
      <c r="F79" s="4"/>
      <c r="G79" s="25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ht="20.25" customHeight="1" spans="1:9">
      <c r="A80" s="35"/>
      <c r="F80" s="4"/>
      <c r="G80" s="25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ht="20.25" customHeight="1" spans="1:9">
      <c r="A81" s="35"/>
      <c r="F81" s="4"/>
      <c r="G81" s="25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ht="20.25" customHeight="1" spans="1:9">
      <c r="A82" s="35"/>
      <c r="F82" s="4"/>
      <c r="G82" s="25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ht="20.25" customHeight="1" spans="1:9">
      <c r="A83" s="35"/>
      <c r="F83" s="4"/>
      <c r="G83" s="25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ht="20.25" customHeight="1" spans="1:9">
      <c r="A84" s="35"/>
      <c r="F84" s="4"/>
      <c r="G84" s="25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ht="20.25" customHeight="1" spans="1:9">
      <c r="A85" s="35"/>
      <c r="F85" s="4"/>
      <c r="G85" s="25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ht="20.25" customHeight="1" spans="1:9">
      <c r="A86" s="35"/>
      <c r="F86" s="4"/>
      <c r="G86" s="25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ht="20.25" customHeight="1" spans="1:9">
      <c r="A87" s="35"/>
      <c r="F87" s="4"/>
      <c r="G87" s="25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ht="20.25" customHeight="1" spans="1:9">
      <c r="A88" s="35"/>
      <c r="F88" s="4"/>
      <c r="G88" s="25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ht="20.25" customHeight="1" spans="1:9">
      <c r="A89" s="35"/>
      <c r="F89" s="4"/>
      <c r="G89" s="25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ht="20.25" customHeight="1" spans="1:9">
      <c r="A90" s="35"/>
      <c r="F90" s="4"/>
      <c r="G90" s="25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ht="20.25" customHeight="1" spans="1:9">
      <c r="A91" s="35"/>
      <c r="F91" s="4"/>
      <c r="G91" s="25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ht="20.25" customHeight="1" spans="1:9">
      <c r="A92" s="35"/>
      <c r="F92" s="4"/>
      <c r="G92" s="25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ht="20.25" customHeight="1" spans="1:9">
      <c r="A93" s="35"/>
      <c r="F93" s="4"/>
      <c r="G93" s="25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ht="20.25" customHeight="1" spans="1:9">
      <c r="A94" s="35"/>
      <c r="F94" s="4"/>
      <c r="G94" s="25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ht="20.25" customHeight="1" spans="1:9">
      <c r="A95" s="35"/>
      <c r="F95" s="4"/>
      <c r="G95" s="25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ht="20.25" customHeight="1" spans="1:9">
      <c r="A96" s="35"/>
      <c r="F96" s="4"/>
      <c r="G96" s="25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ht="20.25" customHeight="1" spans="1:9">
      <c r="A97" s="35"/>
      <c r="F97" s="4"/>
      <c r="G97" s="25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ht="20.25" customHeight="1" spans="1:9">
      <c r="A98" s="35"/>
      <c r="F98" s="4"/>
      <c r="G98" s="25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ht="20.25" customHeight="1" spans="1:9">
      <c r="A99" s="35"/>
      <c r="F99" s="4"/>
      <c r="G99" s="25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ht="20.25" customHeight="1" spans="1:9">
      <c r="A100" s="35"/>
      <c r="F100" s="4"/>
      <c r="G100" s="25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ht="20.25" customHeight="1" spans="1:9">
      <c r="A101" s="35"/>
      <c r="F101" s="4"/>
      <c r="G101" s="25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ht="20.25" customHeight="1" spans="1:9">
      <c r="A102" s="35"/>
      <c r="F102" s="4"/>
      <c r="G102" s="25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ht="20.25" customHeight="1" spans="1:9">
      <c r="A103" s="35"/>
      <c r="F103" s="4"/>
      <c r="G103" s="25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ht="20.25" customHeight="1" spans="1:9">
      <c r="A104" s="35"/>
      <c r="F104" s="4"/>
      <c r="G104" s="25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ht="20.25" customHeight="1" spans="1:9">
      <c r="A105" s="35"/>
      <c r="F105" s="4"/>
      <c r="G105" s="25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ht="20.25" customHeight="1" spans="1:9">
      <c r="A106" s="35"/>
      <c r="F106" s="4"/>
      <c r="G106" s="25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ht="20.25" customHeight="1" spans="1:9">
      <c r="A107" s="35"/>
      <c r="F107" s="4"/>
      <c r="G107" s="25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ht="20.25" customHeight="1" spans="1:9">
      <c r="A108" s="35"/>
      <c r="F108" s="4"/>
      <c r="G108" s="25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ht="20.25" customHeight="1" spans="1:9">
      <c r="A109" s="35"/>
      <c r="F109" s="4"/>
      <c r="G109" s="25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ht="20.25" customHeight="1" spans="1:9">
      <c r="A110" s="35"/>
      <c r="F110" s="4"/>
      <c r="G110" s="25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ht="20.25" customHeight="1" spans="1:9">
      <c r="A111" s="35"/>
      <c r="F111" s="4"/>
      <c r="G111" s="25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ht="20.25" customHeight="1" spans="1:9">
      <c r="A112" s="35"/>
      <c r="F112" s="4"/>
      <c r="G112" s="25" t="str">
        <f t="shared" si="1"/>
        <v/>
      </c>
      <c r="H112" s="4"/>
      <c r="I112" s="4" t="str">
        <f>IFERROR(IF(H112="ND","ND",XiuYue((((H112-基础页!$B$22)*基础页!$B$15/C112)),3,-1,9999)),"")</f>
        <v/>
      </c>
    </row>
    <row r="113" ht="20.25" customHeight="1" spans="1:9">
      <c r="A113" s="35"/>
      <c r="F113" s="4"/>
      <c r="G113" s="25" t="str">
        <f t="shared" si="1"/>
        <v/>
      </c>
      <c r="H113" s="4"/>
      <c r="I113" s="4" t="str">
        <f>IFERROR(IF(H113="ND","ND",XiuYue((((H113-基础页!$B$22)*基础页!$B$15/C113)),3,-1,9999)),"")</f>
        <v/>
      </c>
    </row>
    <row r="114" ht="20.25" customHeight="1" spans="6:9">
      <c r="F114" s="4"/>
      <c r="G114" s="25" t="str">
        <f t="shared" si="1"/>
        <v/>
      </c>
      <c r="H114" s="4"/>
      <c r="I114" s="4" t="str">
        <f>IFERROR(IF(H114="ND","ND",XiuYue((((H114-基础页!$B$22)*基础页!$B$15/C114)),3,-1,9999)),"")</f>
        <v/>
      </c>
    </row>
    <row r="115" ht="20.25" customHeight="1" spans="6:9">
      <c r="F115" s="4"/>
      <c r="G115" s="25" t="str">
        <f t="shared" si="1"/>
        <v/>
      </c>
      <c r="H115" s="4"/>
      <c r="I115" s="4" t="str">
        <f>IFERROR(IF(H115="ND","ND",XiuYue((((H115-基础页!$B$22)*基础页!$B$15/C115)),3,-1,9999)),"")</f>
        <v/>
      </c>
    </row>
    <row r="116" ht="20.25" customHeight="1" spans="6:9">
      <c r="F116" s="4"/>
      <c r="G116" s="25" t="str">
        <f t="shared" si="1"/>
        <v/>
      </c>
      <c r="H116" s="4"/>
      <c r="I116" s="4" t="str">
        <f>IFERROR(IF(H116="ND","ND",XiuYue((((H116-基础页!$B$22)*基础页!$B$15/C116)),3,-1,9999)),"")</f>
        <v/>
      </c>
    </row>
    <row r="117" ht="20.25" customHeight="1" spans="6:9">
      <c r="F117" s="4"/>
      <c r="G117" s="25" t="str">
        <f t="shared" si="1"/>
        <v/>
      </c>
      <c r="H117" s="4"/>
      <c r="I117" s="4" t="str">
        <f>IFERROR(IF(H117="ND","ND",XiuYue((((H117-基础页!$B$22)*基础页!$B$15/C117)),3,-1,9999)),"")</f>
        <v/>
      </c>
    </row>
    <row r="118" ht="20.25" customHeight="1" spans="6:9">
      <c r="F118" s="4"/>
      <c r="G118" s="25" t="str">
        <f t="shared" si="1"/>
        <v/>
      </c>
      <c r="H118" s="4"/>
      <c r="I118" s="4" t="str">
        <f>IFERROR(IF(H118="ND","ND",XiuYue((((H118-基础页!$B$22)*基础页!$B$15/C118)),3,-1,9999)),"")</f>
        <v/>
      </c>
    </row>
    <row r="119" ht="20.25" customHeight="1" spans="6:9">
      <c r="F119" s="4"/>
      <c r="G119" s="25" t="str">
        <f t="shared" si="1"/>
        <v/>
      </c>
      <c r="H119" s="4"/>
      <c r="I119" s="4" t="str">
        <f>IFERROR(IF(H119="ND","ND",XiuYue((((H119-基础页!$B$22)*基础页!$B$15/C119)),3,-1,9999)),"")</f>
        <v/>
      </c>
    </row>
    <row r="120" ht="20.25" customHeight="1" spans="6:9">
      <c r="F120" s="4"/>
      <c r="G120" s="25" t="str">
        <f t="shared" si="1"/>
        <v/>
      </c>
      <c r="H120" s="4"/>
      <c r="I120" s="4" t="str">
        <f>IFERROR(IF(H120="ND","ND",XiuYue((((H120-基础页!$B$22)*基础页!$B$15/C120)),3,-1,9999)),"")</f>
        <v/>
      </c>
    </row>
    <row r="121" ht="20.25" customHeight="1" spans="6:9">
      <c r="F121" s="4"/>
      <c r="G121" s="25" t="str">
        <f t="shared" si="1"/>
        <v/>
      </c>
      <c r="H121" s="4"/>
      <c r="I121" s="4" t="str">
        <f>IFERROR(IF(H121="ND","ND",XiuYue((((H121-基础页!$B$22)*基础页!$B$15/C121)),3,-1,9999)),"")</f>
        <v/>
      </c>
    </row>
    <row r="122" ht="20.25" customHeight="1" spans="9:9">
      <c r="I122" s="36" t="str">
        <f>IFERROR(IF(H122="ND","ND",XiuYue((((H122-基础页!$B$22)*基础页!$B$15/C122)),3,-1,9999)),"")</f>
        <v/>
      </c>
    </row>
    <row r="123" ht="20.25" customHeight="1" spans="9:9">
      <c r="I123" s="5" t="str">
        <f>IFERROR(XiuYue(((H123-基础页!$B$22)*基础页!$B$15)/(C123*基础页!#REF!)*基础页!#REF!,3,-1,2),"")</f>
        <v/>
      </c>
    </row>
    <row r="124" ht="20.25" customHeight="1"/>
    <row r="125" ht="20.25" customHeight="1"/>
    <row r="126" ht="20.25" customHeight="1"/>
    <row r="127" ht="20.25" customHeight="1"/>
    <row r="128" ht="20.25" customHeight="1"/>
    <row r="129" ht="20.25" customHeight="1"/>
    <row r="130" ht="20.25" customHeight="1"/>
    <row r="131" ht="20.25" customHeight="1"/>
    <row r="132" ht="20.25" customHeight="1"/>
    <row r="133" ht="20.25" customHeight="1"/>
    <row r="134" ht="20.25" customHeight="1"/>
    <row r="135" ht="20.25" customHeight="1"/>
    <row r="136" ht="20.25" customHeight="1"/>
    <row r="137" ht="20.25" customHeight="1"/>
    <row r="138" ht="20.25" customHeight="1"/>
    <row r="139" ht="20.25" customHeight="1"/>
    <row r="140" ht="20.25" customHeight="1"/>
    <row r="141" ht="20.25" customHeight="1"/>
    <row r="142" ht="20.25" customHeight="1"/>
    <row r="143" ht="20.25" customHeight="1"/>
    <row r="144" ht="20.25" customHeight="1"/>
    <row r="145" ht="20.25" customHeight="1"/>
    <row r="146" ht="20.25" customHeight="1"/>
    <row r="147" ht="20.25" customHeight="1"/>
    <row r="148" ht="20.25" customHeight="1"/>
    <row r="149" ht="20.25" customHeight="1"/>
    <row r="150" ht="20.25" customHeight="1"/>
    <row r="151" ht="20.25" customHeight="1"/>
    <row r="152" ht="20.25" customHeight="1"/>
    <row r="153" ht="20.25" customHeight="1"/>
    <row r="154" ht="20.25" customHeight="1"/>
    <row r="155" ht="20.25" customHeight="1"/>
    <row r="156" ht="20.25" customHeight="1"/>
    <row r="157" ht="20.25" customHeight="1"/>
    <row r="158" ht="20.25" customHeight="1"/>
    <row r="159" ht="20.25" customHeight="1"/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