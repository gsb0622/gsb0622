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AlgorithmName="SHA-512" workbookHashValue="Llpz6bS002jbGzHmIVcqiSR2BURBXI8A3RH0pC9sdrZXl9sb9VidTNmk9UCZy146YiwztJfKBEt4qkhx+LyI/w==" workbookSaltValue="XJopIsgCL1amo8lHoveNwg==" workbookSpinCount="100000" lockStructure="1"/>
  <bookViews>
    <workbookView windowWidth="22943" windowHeight="10308"/>
  </bookViews>
  <sheets>
    <sheet name="基础页" sheetId="5" r:id="rId1"/>
    <sheet name="分析记录" sheetId="10" r:id="rId2"/>
  </sheets>
  <calcPr calcId="144525"/>
</workbook>
</file>

<file path=xl/sharedStrings.xml><?xml version="1.0" encoding="utf-8"?>
<sst xmlns="http://schemas.openxmlformats.org/spreadsheetml/2006/main" count="79">
  <si>
    <r>
      <rPr>
        <b/>
        <sz val="11"/>
        <color theme="0"/>
        <rFont val="宋体"/>
        <charset val="134"/>
      </rPr>
      <t>基本信息</t>
    </r>
  </si>
  <si>
    <t xml:space="preserve"> </t>
  </si>
  <si>
    <r>
      <rPr>
        <sz val="11"/>
        <color theme="0" tint="-0.0499893185216834"/>
        <rFont val="宋体"/>
        <charset val="134"/>
      </rPr>
      <t>超高效液相色谱仪</t>
    </r>
    <r>
      <rPr>
        <sz val="11"/>
        <color theme="0" tint="-0.0499893185216834"/>
        <rFont val="Times New Roman"/>
        <charset val="134"/>
      </rPr>
      <t>AS274</t>
    </r>
  </si>
  <si>
    <t>Waters H-Class</t>
  </si>
  <si>
    <t>模板编号</t>
  </si>
  <si>
    <t>科学</t>
  </si>
  <si>
    <t>严谨</t>
  </si>
  <si>
    <r>
      <rPr>
        <sz val="11"/>
        <color theme="0" tint="-0.0499893185216834"/>
        <rFont val="宋体"/>
        <charset val="134"/>
      </rPr>
      <t>快速液相色谱仪</t>
    </r>
    <r>
      <rPr>
        <sz val="11"/>
        <color theme="0" tint="-0.0499893185216834"/>
        <rFont val="Times New Roman"/>
        <charset val="134"/>
      </rPr>
      <t>AS381</t>
    </r>
  </si>
  <si>
    <t>LC-20A</t>
  </si>
  <si>
    <t>任务号</t>
  </si>
  <si>
    <r>
      <rPr>
        <sz val="11"/>
        <color theme="0" tint="-0.0499893185216834"/>
        <rFont val="宋体"/>
        <charset val="134"/>
      </rPr>
      <t>高效液相色谱质谱联用仪</t>
    </r>
    <r>
      <rPr>
        <sz val="11"/>
        <color theme="0" tint="-0.0499893185216834"/>
        <rFont val="Times New Roman"/>
        <charset val="134"/>
      </rPr>
      <t>AS517</t>
    </r>
  </si>
  <si>
    <t>LCMS-8050</t>
  </si>
  <si>
    <t>任务名称</t>
  </si>
  <si>
    <r>
      <rPr>
        <sz val="11"/>
        <color theme="0" tint="-0.0499893185216834"/>
        <rFont val="宋体"/>
        <charset val="134"/>
      </rPr>
      <t>液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质谱联用仪</t>
    </r>
    <r>
      <rPr>
        <sz val="11"/>
        <color theme="0" tint="-0.0499893185216834"/>
        <rFont val="Times New Roman"/>
        <charset val="134"/>
      </rPr>
      <t>AS347</t>
    </r>
  </si>
  <si>
    <t>AB Sciex Triple Quad 5500</t>
  </si>
  <si>
    <t>检测项目</t>
  </si>
  <si>
    <t>安全</t>
  </si>
  <si>
    <t>高效</t>
  </si>
  <si>
    <t>检测日期</t>
  </si>
  <si>
    <t>样品类别</t>
  </si>
  <si>
    <t>水产品</t>
  </si>
  <si>
    <t>检测地点</t>
  </si>
  <si>
    <t>301室</t>
  </si>
  <si>
    <t>检测方法</t>
  </si>
  <si>
    <t>SC/T 3015-2002</t>
  </si>
  <si>
    <t>温度(℃)</t>
  </si>
  <si>
    <t>湿度(%)</t>
  </si>
  <si>
    <r>
      <rPr>
        <b/>
        <sz val="11"/>
        <color theme="1"/>
        <rFont val="宋体"/>
        <charset val="134"/>
      </rPr>
      <t>说明：</t>
    </r>
  </si>
  <si>
    <t>检出限</t>
  </si>
  <si>
    <t>土霉素、四环素为0.05 mg/kg
金霉素为0.1 mg/kg</t>
  </si>
  <si>
    <r>
      <rPr>
        <sz val="11"/>
        <color rgb="FFFF0000"/>
        <rFont val="宋体"/>
        <charset val="134"/>
      </rPr>
      <t>为不需要填写</t>
    </r>
  </si>
  <si>
    <t>定量限</t>
  </si>
  <si>
    <t>/</t>
  </si>
  <si>
    <r>
      <rPr>
        <sz val="11"/>
        <color rgb="FFFF0000"/>
        <rFont val="宋体"/>
        <charset val="134"/>
      </rPr>
      <t>为质控模块</t>
    </r>
  </si>
  <si>
    <t>仪器名称及编号</t>
  </si>
  <si>
    <t>超高效液相色谱仪AS274</t>
  </si>
  <si>
    <t>仪器型号</t>
  </si>
  <si>
    <t>天平编号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</si>
  <si>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1(</t>
    </r>
    <r>
      <rPr>
        <sz val="11"/>
        <color theme="1"/>
        <rFont val="宋体"/>
        <charset val="134"/>
      </rPr>
      <t>mL)</t>
    </r>
  </si>
  <si>
    <t>色谱条件</t>
  </si>
  <si>
    <t>色谱柱</t>
  </si>
  <si>
    <r>
      <rPr>
        <sz val="11"/>
        <color theme="1"/>
        <rFont val="Times New Roman"/>
        <charset val="134"/>
      </rPr>
      <t>BEH C</t>
    </r>
    <r>
      <rPr>
        <vertAlign val="subscript"/>
        <sz val="11"/>
        <color theme="1"/>
        <rFont val="Times New Roman"/>
        <charset val="134"/>
      </rPr>
      <t>18</t>
    </r>
    <r>
      <rPr>
        <sz val="11"/>
        <color theme="1"/>
        <rFont val="Times New Roman"/>
        <charset val="134"/>
      </rPr>
      <t xml:space="preserve">
100 mm×2.1 mm
</t>
    </r>
    <r>
      <rPr>
        <sz val="11"/>
        <color theme="1"/>
        <rFont val="微软雅黑"/>
        <charset val="134"/>
      </rPr>
      <t>粒径</t>
    </r>
    <r>
      <rPr>
        <sz val="11"/>
        <color theme="1"/>
        <rFont val="Times New Roman"/>
        <charset val="134"/>
      </rPr>
      <t>1.7μm</t>
    </r>
  </si>
  <si>
    <t>柱温(℃)</t>
  </si>
  <si>
    <t>流动相</t>
  </si>
  <si>
    <t>A：0.01mol/L草酸
B：乙腈</t>
  </si>
  <si>
    <t>洗脱程序</t>
  </si>
  <si>
    <r>
      <rPr>
        <sz val="11"/>
        <color theme="1"/>
        <rFont val="Times New Roman"/>
        <charset val="134"/>
      </rPr>
      <t>0 ~ 5min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相比例由</t>
    </r>
    <r>
      <rPr>
        <sz val="11"/>
        <color theme="1"/>
        <rFont val="Times New Roman"/>
        <charset val="134"/>
      </rPr>
      <t>15%</t>
    </r>
    <r>
      <rPr>
        <sz val="11"/>
        <color theme="1"/>
        <rFont val="微软雅黑"/>
        <charset val="134"/>
      </rPr>
      <t>线性变为</t>
    </r>
    <r>
      <rPr>
        <sz val="11"/>
        <color theme="1"/>
        <rFont val="Times New Roman"/>
        <charset val="134"/>
      </rPr>
      <t>40%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5 ~ 5.5 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相为</t>
    </r>
    <r>
      <rPr>
        <sz val="11"/>
        <color theme="1"/>
        <rFont val="Times New Roman"/>
        <charset val="134"/>
      </rPr>
      <t>40%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>5.5 ~ 8 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相为</t>
    </r>
    <r>
      <rPr>
        <sz val="11"/>
        <color theme="1"/>
        <rFont val="Times New Roman"/>
        <charset val="134"/>
      </rPr>
      <t>90%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>8 ~ 12.5 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相为</t>
    </r>
    <r>
      <rPr>
        <sz val="11"/>
        <color theme="1"/>
        <rFont val="Times New Roman"/>
        <charset val="134"/>
      </rPr>
      <t>15%</t>
    </r>
  </si>
  <si>
    <t>流速(mL/min)</t>
  </si>
  <si>
    <r>
      <rPr>
        <sz val="11"/>
        <color theme="1"/>
        <rFont val="宋体"/>
        <charset val="134"/>
      </rPr>
      <t>进样体积(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</si>
  <si>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t>检测波长(nm)</t>
  </si>
  <si>
    <t>标准溶液</t>
  </si>
  <si>
    <r>
      <rPr>
        <sz val="11"/>
        <color theme="1"/>
        <rFont val="宋体"/>
        <charset val="134"/>
      </rPr>
      <t xml:space="preserve">标准工作溶液浓度(  </t>
    </r>
    <r>
      <rPr>
        <sz val="11"/>
        <color theme="1"/>
        <rFont val="宋体"/>
        <charset val="134"/>
      </rPr>
      <t>)</t>
    </r>
  </si>
  <si>
    <t>标准工作液编号</t>
  </si>
  <si>
    <t>标准工作液有效期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</si>
  <si>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</si>
  <si>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</si>
  <si>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÷m×5</t>
    </r>
  </si>
  <si>
    <t>签名</t>
  </si>
  <si>
    <t>检测人</t>
  </si>
  <si>
    <t>校核人</t>
  </si>
  <si>
    <t>审核人</t>
  </si>
  <si>
    <t>序号</t>
  </si>
  <si>
    <t>样品编号</t>
  </si>
  <si>
    <t>取样量
m(g)</t>
  </si>
  <si>
    <t>定性判定</t>
  </si>
  <si>
    <t>定量结果</t>
  </si>
  <si>
    <t>质控</t>
  </si>
  <si>
    <t>备注</t>
  </si>
  <si>
    <t>保留时间（min）</t>
  </si>
  <si>
    <t>是否阳性</t>
  </si>
  <si>
    <t>样液
测定结果
Cs（     ）</t>
  </si>
  <si>
    <t>样品
残留量
X（     ）</t>
  </si>
  <si>
    <t>标样
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</si>
  <si>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</si>
  <si>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</si>
  <si>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</si>
  <si>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</si>
  <si>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样品</t>
  </si>
  <si>
    <t>标液</t>
  </si>
</sst>
</file>

<file path=xl/styles.xml><?xml version="1.0" encoding="utf-8"?>
<styleSheet xmlns="http://schemas.openxmlformats.org/spreadsheetml/2006/main">
  <numFmts count="8"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0.0_ "/>
    <numFmt numFmtId="177" formatCode="0.0_ ;[Red]\-0.0\ "/>
    <numFmt numFmtId="178" formatCode="0.000"/>
    <numFmt numFmtId="179" formatCode="0.0"/>
  </numFmts>
  <fonts count="41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Times New Roman"/>
      <charset val="134"/>
    </font>
    <font>
      <sz val="11"/>
      <name val="宋体"/>
      <charset val="134"/>
    </font>
    <font>
      <sz val="12"/>
      <color theme="1"/>
      <name val="宋体"/>
      <charset val="134"/>
      <scheme val="minor"/>
    </font>
    <font>
      <sz val="11"/>
      <color theme="1"/>
      <name val="宋体"/>
      <charset val="134"/>
    </font>
    <font>
      <sz val="11"/>
      <name val="Times New Roman"/>
      <charset val="134"/>
    </font>
    <font>
      <b/>
      <sz val="11"/>
      <color theme="0"/>
      <name val="宋体"/>
      <charset val="134"/>
    </font>
    <font>
      <sz val="36"/>
      <color theme="0"/>
      <name val="华文行楷"/>
      <charset val="134"/>
    </font>
    <font>
      <sz val="36"/>
      <color theme="1"/>
      <name val="华文行楷"/>
      <charset val="134"/>
    </font>
    <font>
      <sz val="48"/>
      <color theme="0"/>
      <name val="华文行楷"/>
      <charset val="134"/>
    </font>
    <font>
      <b/>
      <sz val="11"/>
      <color theme="1"/>
      <name val="Times New Roman"/>
      <charset val="134"/>
    </font>
    <font>
      <sz val="11"/>
      <color rgb="FFFF0000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0"/>
      <name val="Arial"/>
      <charset val="134"/>
    </font>
    <font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1"/>
      <name val="宋体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宋体"/>
      <charset val="134"/>
    </font>
    <font>
      <vertAlign val="subscript"/>
      <sz val="11"/>
      <color theme="1"/>
      <name val="Times New Roman"/>
      <charset val="134"/>
    </font>
    <font>
      <sz val="11"/>
      <color theme="1"/>
      <name val="微软雅黑"/>
      <charset val="134"/>
    </font>
    <font>
      <sz val="11"/>
      <color theme="1"/>
      <name val="Calibri"/>
      <charset val="134"/>
    </font>
  </fonts>
  <fills count="41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914548173467"/>
        <bgColor indexed="64"/>
      </patternFill>
    </fill>
    <fill>
      <patternFill patternType="solid">
        <fgColor theme="9" tint="0.7999206518753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21" fillId="20" borderId="1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0" fillId="29" borderId="14" applyNumberFormat="0" applyFont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9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20" fillId="0" borderId="13" applyNumberFormat="0" applyFill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2" fillId="23" borderId="11" applyNumberFormat="0" applyAlignment="0" applyProtection="0">
      <alignment vertical="center"/>
    </xf>
    <xf numFmtId="0" fontId="30" fillId="23" borderId="10" applyNumberFormat="0" applyAlignment="0" applyProtection="0">
      <alignment vertical="center"/>
    </xf>
    <xf numFmtId="0" fontId="32" fillId="35" borderId="16" applyNumberFormat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24" fillId="0" borderId="12" applyNumberFormat="0" applyFill="0" applyAlignment="0" applyProtection="0">
      <alignment vertical="center"/>
    </xf>
    <xf numFmtId="0" fontId="31" fillId="0" borderId="15" applyNumberFormat="0" applyFill="0" applyAlignment="0" applyProtection="0">
      <alignment vertical="center"/>
    </xf>
    <xf numFmtId="0" fontId="34" fillId="40" borderId="0" applyNumberFormat="0" applyBorder="0" applyAlignment="0" applyProtection="0">
      <alignment vertical="center"/>
    </xf>
    <xf numFmtId="0" fontId="33" fillId="39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38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23" fillId="0" borderId="0"/>
  </cellStyleXfs>
  <cellXfs count="90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2" xfId="49" applyNumberFormat="1" applyFont="1" applyFill="1" applyBorder="1" applyAlignment="1" applyProtection="1">
      <alignment vertical="center"/>
      <protection locked="0"/>
    </xf>
    <xf numFmtId="49" fontId="2" fillId="6" borderId="3" xfId="49" applyNumberFormat="1" applyFont="1" applyFill="1" applyBorder="1" applyAlignment="1" applyProtection="1">
      <alignment vertical="center"/>
      <protection locked="0"/>
    </xf>
    <xf numFmtId="49" fontId="2" fillId="6" borderId="1" xfId="49" applyNumberFormat="1" applyFont="1" applyFill="1" applyBorder="1" applyAlignment="1" applyProtection="1">
      <alignment vertical="center"/>
      <protection locked="0"/>
    </xf>
    <xf numFmtId="0" fontId="2" fillId="6" borderId="1" xfId="49" applyNumberFormat="1" applyFont="1" applyFill="1" applyBorder="1" applyAlignment="1" applyProtection="1">
      <alignment vertical="center"/>
      <protection locked="0"/>
    </xf>
    <xf numFmtId="49" fontId="3" fillId="7" borderId="4" xfId="0" applyNumberFormat="1" applyFont="1" applyFill="1" applyBorder="1" applyAlignment="1" applyProtection="1">
      <alignment horizontal="center" vertical="center"/>
      <protection locked="0"/>
    </xf>
    <xf numFmtId="49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6" xfId="0" applyNumberFormat="1" applyFont="1" applyFill="1" applyBorder="1" applyAlignment="1" applyProtection="1">
      <alignment horizontal="center" vertical="center"/>
      <protection locked="0"/>
    </xf>
    <xf numFmtId="49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0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7" xfId="0" applyNumberFormat="1" applyFont="1" applyFill="1" applyBorder="1" applyAlignment="1" applyProtection="1">
      <alignment horizontal="center" vertical="center"/>
      <protection locked="0"/>
    </xf>
    <xf numFmtId="49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0" xfId="0" applyFont="1" applyFill="1" applyAlignment="1">
      <alignment vertical="center"/>
    </xf>
    <xf numFmtId="0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49" fontId="2" fillId="6" borderId="2" xfId="49" applyNumberFormat="1" applyFont="1" applyFill="1" applyBorder="1" applyAlignment="1" applyProtection="1">
      <alignment horizontal="left" vertical="center"/>
      <protection locked="0"/>
    </xf>
    <xf numFmtId="49" fontId="2" fillId="6" borderId="3" xfId="49" applyNumberFormat="1" applyFont="1" applyFill="1" applyBorder="1" applyAlignment="1" applyProtection="1">
      <alignment horizontal="left" vertical="center"/>
      <protection locked="0"/>
    </xf>
    <xf numFmtId="0" fontId="3" fillId="5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3" fillId="5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5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0" fontId="2" fillId="8" borderId="0" xfId="0" applyNumberFormat="1" applyFont="1" applyFill="1" applyBorder="1" applyAlignment="1" applyProtection="1">
      <alignment horizontal="left" vertical="center"/>
      <protection locked="0"/>
    </xf>
    <xf numFmtId="49" fontId="1" fillId="8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3" borderId="1" xfId="0" applyNumberFormat="1" applyFont="1" applyFill="1" applyBorder="1" applyAlignment="1" applyProtection="1">
      <alignment horizontal="center" vertical="center"/>
      <protection locked="0"/>
    </xf>
    <xf numFmtId="177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left" vertical="center"/>
      <protection locked="0"/>
    </xf>
    <xf numFmtId="49" fontId="5" fillId="4" borderId="1" xfId="0" applyNumberFormat="1" applyFont="1" applyFill="1" applyBorder="1" applyAlignment="1" applyProtection="1">
      <alignment horizontal="right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176" fontId="1" fillId="4" borderId="1" xfId="0" applyNumberFormat="1" applyFont="1" applyFill="1" applyBorder="1" applyAlignment="1" applyProtection="1">
      <alignment horizontal="center" vertical="center"/>
      <protection locked="0"/>
    </xf>
    <xf numFmtId="176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4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9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7" borderId="6" xfId="0" applyNumberFormat="1" applyFont="1" applyFill="1" applyBorder="1" applyAlignment="1">
      <alignment horizontal="center" vertical="center"/>
    </xf>
    <xf numFmtId="0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left" vertical="top" wrapText="1"/>
      <protection locked="0"/>
    </xf>
    <xf numFmtId="178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7" xfId="0" applyNumberFormat="1" applyFont="1" applyFill="1" applyBorder="1" applyAlignment="1">
      <alignment horizontal="center" vertical="center"/>
    </xf>
    <xf numFmtId="0" fontId="1" fillId="4" borderId="5" xfId="0" applyNumberFormat="1" applyFont="1" applyFill="1" applyBorder="1" applyAlignment="1" applyProtection="1">
      <alignment horizontal="left" vertical="center"/>
      <protection locked="0"/>
    </xf>
    <xf numFmtId="0" fontId="1" fillId="4" borderId="2" xfId="0" applyNumberFormat="1" applyFont="1" applyFill="1" applyBorder="1" applyAlignment="1" applyProtection="1">
      <alignment horizontal="left" vertical="center"/>
      <protection locked="0"/>
    </xf>
    <xf numFmtId="0" fontId="1" fillId="4" borderId="3" xfId="0" applyNumberFormat="1" applyFont="1" applyFill="1" applyBorder="1" applyAlignment="1" applyProtection="1">
      <alignment horizontal="left" vertical="center"/>
      <protection locked="0"/>
    </xf>
    <xf numFmtId="49" fontId="5" fillId="7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49" fontId="5" fillId="4" borderId="5" xfId="0" applyNumberFormat="1" applyFont="1" applyFill="1" applyBorder="1" applyAlignment="1">
      <alignment horizontal="center" vertical="center"/>
    </xf>
    <xf numFmtId="49" fontId="5" fillId="4" borderId="2" xfId="0" applyNumberFormat="1" applyFont="1" applyFill="1" applyBorder="1" applyAlignment="1">
      <alignment horizontal="center" vertical="center"/>
    </xf>
    <xf numFmtId="49" fontId="5" fillId="4" borderId="3" xfId="0" applyNumberFormat="1" applyFont="1" applyFill="1" applyBorder="1" applyAlignment="1">
      <alignment horizontal="center" vertical="center"/>
    </xf>
    <xf numFmtId="49" fontId="5" fillId="7" borderId="1" xfId="0" applyNumberFormat="1" applyFont="1" applyFill="1" applyBorder="1" applyAlignment="1">
      <alignment horizontal="center" vertical="center"/>
    </xf>
    <xf numFmtId="0" fontId="5" fillId="4" borderId="5" xfId="0" applyNumberFormat="1" applyFont="1" applyFill="1" applyBorder="1" applyAlignment="1">
      <alignment horizontal="center" vertical="center" wrapText="1"/>
    </xf>
    <xf numFmtId="0" fontId="5" fillId="4" borderId="2" xfId="0" applyNumberFormat="1" applyFont="1" applyFill="1" applyBorder="1" applyAlignment="1">
      <alignment horizontal="center" vertical="center" wrapText="1"/>
    </xf>
    <xf numFmtId="0" fontId="5" fillId="4" borderId="3" xfId="0" applyNumberFormat="1" applyFont="1" applyFill="1" applyBorder="1" applyAlignment="1">
      <alignment horizontal="right" vertical="center" wrapText="1"/>
    </xf>
    <xf numFmtId="49" fontId="5" fillId="4" borderId="1" xfId="0" applyNumberFormat="1" applyFont="1" applyFill="1" applyBorder="1" applyAlignment="1">
      <alignment horizontal="center" vertical="center" wrapText="1"/>
    </xf>
    <xf numFmtId="49" fontId="7" fillId="6" borderId="1" xfId="0" applyNumberFormat="1" applyFont="1" applyFill="1" applyBorder="1" applyAlignment="1" applyProtection="1">
      <alignment horizontal="left" vertical="center"/>
      <protection locked="0"/>
    </xf>
    <xf numFmtId="49" fontId="8" fillId="8" borderId="0" xfId="0" applyNumberFormat="1" applyFont="1" applyFill="1" applyBorder="1" applyAlignment="1" applyProtection="1">
      <alignment horizontal="center"/>
    </xf>
    <xf numFmtId="49" fontId="8" fillId="8" borderId="0" xfId="0" applyNumberFormat="1" applyFont="1" applyFill="1" applyBorder="1" applyProtection="1"/>
    <xf numFmtId="49" fontId="9" fillId="8" borderId="0" xfId="0" applyNumberFormat="1" applyFont="1" applyFill="1" applyBorder="1" applyProtection="1"/>
    <xf numFmtId="49" fontId="10" fillId="8" borderId="0" xfId="0" applyNumberFormat="1" applyFont="1" applyFill="1" applyBorder="1" applyAlignment="1" applyProtection="1">
      <alignment horizontal="center"/>
    </xf>
    <xf numFmtId="49" fontId="10" fillId="8" borderId="0" xfId="0" applyNumberFormat="1" applyFont="1" applyFill="1" applyBorder="1" applyProtection="1"/>
    <xf numFmtId="49" fontId="11" fillId="2" borderId="8" xfId="0" applyNumberFormat="1" applyFont="1" applyFill="1" applyBorder="1" applyAlignment="1" applyProtection="1">
      <alignment horizontal="left"/>
    </xf>
    <xf numFmtId="49" fontId="1" fillId="3" borderId="0" xfId="0" applyNumberFormat="1" applyFont="1" applyFill="1" applyBorder="1" applyProtection="1"/>
    <xf numFmtId="49" fontId="12" fillId="2" borderId="0" xfId="0" applyNumberFormat="1" applyFont="1" applyFill="1" applyBorder="1" applyAlignment="1" applyProtection="1">
      <alignment vertical="center"/>
    </xf>
    <xf numFmtId="49" fontId="1" fillId="9" borderId="0" xfId="0" applyNumberFormat="1" applyFont="1" applyFill="1" applyBorder="1" applyProtection="1"/>
    <xf numFmtId="0" fontId="1" fillId="8" borderId="0" xfId="0" applyFont="1" applyFill="1" applyBorder="1" applyAlignment="1" applyProtection="1">
      <alignment horizontal="center" vertical="center"/>
      <protection locked="0"/>
    </xf>
    <xf numFmtId="49" fontId="13" fillId="2" borderId="0" xfId="0" applyNumberFormat="1" applyFont="1" applyFill="1" applyBorder="1" applyProtection="1"/>
    <xf numFmtId="49" fontId="14" fillId="2" borderId="0" xfId="0" applyNumberFormat="1" applyFont="1" applyFill="1" applyBorder="1" applyProtection="1"/>
    <xf numFmtId="49" fontId="13" fillId="2" borderId="0" xfId="0" applyNumberFormat="1" applyFont="1" applyFill="1" applyBorder="1" applyAlignment="1" applyProtection="1">
      <alignment vertical="center"/>
    </xf>
    <xf numFmtId="49" fontId="14" fillId="2" borderId="0" xfId="0" applyNumberFormat="1" applyFont="1" applyFill="1" applyBorder="1" applyAlignment="1" applyProtection="1">
      <alignment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FFFCC"/>
      <color rgb="00FFFF66"/>
      <color rgb="00EDF676"/>
      <color rgb="00E6E686"/>
      <color rgb="008385E9"/>
      <color rgb="00FFFCF7"/>
      <color rgb="00F5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18</xdr:col>
      <xdr:colOff>209550</xdr:colOff>
      <xdr:row>14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1639550" y="4445635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20</xdr:col>
      <xdr:colOff>445770</xdr:colOff>
      <xdr:row>13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5335250" y="4169410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6</xdr:col>
      <xdr:colOff>156883</xdr:colOff>
      <xdr:row>21</xdr:row>
      <xdr:rowOff>233083</xdr:rowOff>
    </xdr:from>
    <xdr:ext cx="65" cy="172227"/>
    <xdr:sp>
      <xdr:nvSpPr>
        <xdr:cNvPr id="4" name="文本框 3"/>
        <xdr:cNvSpPr txBox="1"/>
      </xdr:nvSpPr>
      <xdr:spPr>
        <a:xfrm>
          <a:off x="7113905" y="8580120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V28"/>
  <sheetViews>
    <sheetView tabSelected="1" zoomScale="85" zoomScaleNormal="85" workbookViewId="0">
      <selection activeCell="J23" sqref="J23"/>
    </sheetView>
  </sheetViews>
  <sheetFormatPr defaultColWidth="9" defaultRowHeight="20.25" customHeight="1"/>
  <cols>
    <col min="1" max="1" width="21.3333333333333" style="33" customWidth="1"/>
    <col min="2" max="2" width="14.3333333333333" style="33" customWidth="1"/>
    <col min="3" max="3" width="12.8888888888889" style="33" customWidth="1"/>
    <col min="4" max="4" width="13.7777777777778" style="33" customWidth="1"/>
    <col min="5" max="5" width="13.6666666666667" style="33" customWidth="1"/>
    <col min="6" max="6" width="25.4444444444444" style="33" customWidth="1"/>
    <col min="7" max="17" width="5.11111111111111" style="2" customWidth="1"/>
    <col min="18" max="18" width="9" style="2"/>
    <col min="19" max="19" width="41.4444444444444" style="2" customWidth="1"/>
    <col min="20" max="16384" width="9" style="2"/>
  </cols>
  <sheetData>
    <row r="1" customHeight="1" spans="1:22">
      <c r="A1" s="34" t="s">
        <v>0</v>
      </c>
      <c r="B1" s="34"/>
      <c r="C1" s="34"/>
      <c r="D1" s="34"/>
      <c r="E1" s="34"/>
      <c r="F1" s="34"/>
      <c r="G1" s="35" t="s">
        <v>1</v>
      </c>
      <c r="H1" s="36"/>
      <c r="I1" s="36"/>
      <c r="J1" s="36"/>
      <c r="K1" s="36"/>
      <c r="L1" s="36"/>
      <c r="M1" s="36"/>
      <c r="N1" s="36"/>
      <c r="O1" s="36"/>
      <c r="P1" s="36"/>
      <c r="Q1" s="85"/>
      <c r="R1" s="86"/>
      <c r="S1" s="87" t="s">
        <v>2</v>
      </c>
      <c r="T1" s="86" t="s">
        <v>3</v>
      </c>
      <c r="U1" s="86"/>
      <c r="V1" s="86"/>
    </row>
    <row r="2" s="1" customFormat="1" ht="21" customHeight="1" spans="1:22">
      <c r="A2" s="37" t="s">
        <v>4</v>
      </c>
      <c r="B2" s="38"/>
      <c r="C2" s="38"/>
      <c r="D2" s="38"/>
      <c r="E2" s="38"/>
      <c r="F2" s="38"/>
      <c r="G2" s="39"/>
      <c r="H2" s="36"/>
      <c r="I2" s="76" t="s">
        <v>5</v>
      </c>
      <c r="J2" s="76"/>
      <c r="K2" s="76"/>
      <c r="L2" s="77"/>
      <c r="M2" s="76" t="s">
        <v>6</v>
      </c>
      <c r="N2" s="76"/>
      <c r="O2" s="76"/>
      <c r="P2" s="36"/>
      <c r="Q2" s="85"/>
      <c r="R2" s="88"/>
      <c r="S2" s="89" t="s">
        <v>7</v>
      </c>
      <c r="T2" s="88" t="s">
        <v>8</v>
      </c>
      <c r="U2" s="88"/>
      <c r="V2" s="88"/>
    </row>
    <row r="3" s="1" customFormat="1" ht="21" customHeight="1" spans="1:22">
      <c r="A3" s="37" t="s">
        <v>9</v>
      </c>
      <c r="B3" s="3"/>
      <c r="C3" s="3"/>
      <c r="D3" s="3"/>
      <c r="E3" s="3"/>
      <c r="F3" s="3"/>
      <c r="G3" s="39"/>
      <c r="H3" s="36"/>
      <c r="I3" s="76"/>
      <c r="J3" s="76"/>
      <c r="K3" s="76"/>
      <c r="L3" s="77"/>
      <c r="M3" s="76"/>
      <c r="N3" s="76"/>
      <c r="O3" s="76"/>
      <c r="P3" s="36"/>
      <c r="Q3" s="85"/>
      <c r="R3" s="88"/>
      <c r="S3" s="89" t="s">
        <v>10</v>
      </c>
      <c r="T3" s="88" t="s">
        <v>11</v>
      </c>
      <c r="U3" s="88"/>
      <c r="V3" s="88"/>
    </row>
    <row r="4" s="1" customFormat="1" ht="21" customHeight="1" spans="1:22">
      <c r="A4" s="37" t="s">
        <v>12</v>
      </c>
      <c r="B4" s="3"/>
      <c r="C4" s="3"/>
      <c r="D4" s="3"/>
      <c r="E4" s="3"/>
      <c r="F4" s="3"/>
      <c r="G4" s="39"/>
      <c r="H4" s="36"/>
      <c r="I4" s="77"/>
      <c r="J4" s="77"/>
      <c r="K4" s="77"/>
      <c r="L4" s="77"/>
      <c r="M4" s="77"/>
      <c r="N4" s="78"/>
      <c r="O4" s="78"/>
      <c r="P4" s="36"/>
      <c r="Q4" s="85"/>
      <c r="R4" s="88"/>
      <c r="S4" s="89" t="s">
        <v>13</v>
      </c>
      <c r="T4" s="88" t="s">
        <v>14</v>
      </c>
      <c r="U4" s="88"/>
      <c r="V4" s="88"/>
    </row>
    <row r="5" s="1" customFormat="1" ht="21" customHeight="1" spans="1:22">
      <c r="A5" s="37" t="s">
        <v>15</v>
      </c>
      <c r="B5" s="40"/>
      <c r="C5" s="40"/>
      <c r="D5" s="3"/>
      <c r="E5" s="3"/>
      <c r="F5" s="3"/>
      <c r="G5" s="39"/>
      <c r="H5" s="36"/>
      <c r="I5" s="76" t="s">
        <v>16</v>
      </c>
      <c r="J5" s="76"/>
      <c r="K5" s="76"/>
      <c r="L5" s="77"/>
      <c r="M5" s="76" t="s">
        <v>17</v>
      </c>
      <c r="N5" s="76"/>
      <c r="O5" s="76"/>
      <c r="P5" s="36"/>
      <c r="Q5" s="85"/>
      <c r="R5" s="88"/>
      <c r="S5" s="88"/>
      <c r="T5" s="88"/>
      <c r="U5" s="88"/>
      <c r="V5" s="88"/>
    </row>
    <row r="6" s="1" customFormat="1" ht="21" customHeight="1" spans="1:17">
      <c r="A6" s="37" t="s">
        <v>18</v>
      </c>
      <c r="B6" s="3"/>
      <c r="C6" s="3"/>
      <c r="D6" s="3"/>
      <c r="E6" s="3"/>
      <c r="F6" s="3"/>
      <c r="G6" s="41"/>
      <c r="H6" s="36"/>
      <c r="I6" s="76"/>
      <c r="J6" s="76"/>
      <c r="K6" s="76"/>
      <c r="L6" s="77"/>
      <c r="M6" s="76"/>
      <c r="N6" s="76"/>
      <c r="O6" s="76"/>
      <c r="P6" s="36"/>
      <c r="Q6" s="85"/>
    </row>
    <row r="7" s="1" customFormat="1" ht="21" customHeight="1" spans="1:17">
      <c r="A7" s="37" t="s">
        <v>19</v>
      </c>
      <c r="B7" s="40" t="s">
        <v>20</v>
      </c>
      <c r="C7" s="40"/>
      <c r="D7" s="40"/>
      <c r="E7" s="40"/>
      <c r="F7" s="40"/>
      <c r="G7" s="41"/>
      <c r="H7" s="36"/>
      <c r="I7" s="76"/>
      <c r="J7" s="76"/>
      <c r="K7" s="76"/>
      <c r="L7" s="77"/>
      <c r="M7" s="76"/>
      <c r="N7" s="76"/>
      <c r="O7" s="76"/>
      <c r="P7" s="36"/>
      <c r="Q7" s="85"/>
    </row>
    <row r="8" s="1" customFormat="1" ht="21.6" customHeight="1" spans="1:17">
      <c r="A8" s="37" t="s">
        <v>21</v>
      </c>
      <c r="B8" s="40" t="s">
        <v>22</v>
      </c>
      <c r="C8" s="40"/>
      <c r="D8" s="40"/>
      <c r="E8" s="40"/>
      <c r="F8" s="40"/>
      <c r="G8" s="41"/>
      <c r="H8" s="36"/>
      <c r="I8" s="79"/>
      <c r="J8" s="79"/>
      <c r="K8" s="79"/>
      <c r="L8" s="80"/>
      <c r="M8" s="79"/>
      <c r="N8" s="79"/>
      <c r="O8" s="79"/>
      <c r="P8" s="36"/>
      <c r="Q8" s="85"/>
    </row>
    <row r="9" s="1" customFormat="1" ht="40" customHeight="1" spans="1:17">
      <c r="A9" s="37" t="s">
        <v>23</v>
      </c>
      <c r="B9" s="42" t="s">
        <v>24</v>
      </c>
      <c r="C9" s="42"/>
      <c r="D9" s="4"/>
      <c r="E9" s="4"/>
      <c r="F9" s="4"/>
      <c r="G9" s="43"/>
      <c r="H9" s="2"/>
      <c r="I9" s="2"/>
      <c r="N9" s="2"/>
      <c r="O9" s="2"/>
      <c r="P9" s="2"/>
      <c r="Q9" s="43"/>
    </row>
    <row r="10" s="1" customFormat="1" ht="20.1" customHeight="1" spans="1:17">
      <c r="A10" s="37" t="s">
        <v>25</v>
      </c>
      <c r="B10" s="44"/>
      <c r="C10" s="44"/>
      <c r="D10" s="45" t="s">
        <v>26</v>
      </c>
      <c r="E10" s="44"/>
      <c r="F10" s="44"/>
      <c r="G10" s="43"/>
      <c r="H10" s="2"/>
      <c r="I10" s="2"/>
      <c r="J10" s="81" t="s">
        <v>27</v>
      </c>
      <c r="K10" s="81"/>
      <c r="L10" s="43"/>
      <c r="M10" s="43"/>
      <c r="N10" s="2"/>
      <c r="O10" s="2"/>
      <c r="P10" s="2"/>
      <c r="Q10" s="43"/>
    </row>
    <row r="11" s="1" customFormat="1" ht="40.35" customHeight="1" spans="1:17">
      <c r="A11" s="37" t="s">
        <v>28</v>
      </c>
      <c r="B11" s="42" t="s">
        <v>29</v>
      </c>
      <c r="C11" s="42"/>
      <c r="D11" s="46"/>
      <c r="E11" s="46"/>
      <c r="F11" s="46"/>
      <c r="G11" s="43"/>
      <c r="H11" s="43"/>
      <c r="I11" s="2"/>
      <c r="J11" s="82"/>
      <c r="K11" s="83" t="s">
        <v>30</v>
      </c>
      <c r="L11" s="83"/>
      <c r="M11" s="83"/>
      <c r="N11" s="43"/>
      <c r="O11" s="43"/>
      <c r="P11" s="43"/>
      <c r="Q11" s="43"/>
    </row>
    <row r="12" s="1" customFormat="1" ht="21" customHeight="1" spans="1:17">
      <c r="A12" s="37" t="s">
        <v>31</v>
      </c>
      <c r="B12" s="47" t="s">
        <v>32</v>
      </c>
      <c r="C12" s="47"/>
      <c r="D12" s="48"/>
      <c r="E12" s="48"/>
      <c r="F12" s="48"/>
      <c r="G12" s="43"/>
      <c r="H12" s="43"/>
      <c r="I12" s="2"/>
      <c r="J12" s="84"/>
      <c r="K12" s="83" t="s">
        <v>33</v>
      </c>
      <c r="L12" s="83"/>
      <c r="M12" s="83"/>
      <c r="N12" s="43"/>
      <c r="O12" s="43"/>
      <c r="P12" s="43"/>
      <c r="Q12" s="43"/>
    </row>
    <row r="13" s="1" customFormat="1" ht="35.4" customHeight="1" spans="1:17">
      <c r="A13" s="37" t="s">
        <v>34</v>
      </c>
      <c r="B13" s="47" t="s">
        <v>35</v>
      </c>
      <c r="C13" s="47"/>
      <c r="D13" s="48"/>
      <c r="E13" s="48"/>
      <c r="F13" s="48"/>
      <c r="G13" s="43"/>
      <c r="H13" s="43"/>
      <c r="I13" s="2"/>
      <c r="J13" s="43"/>
      <c r="K13" s="83"/>
      <c r="L13" s="2"/>
      <c r="M13" s="2"/>
      <c r="N13" s="43"/>
      <c r="O13" s="43"/>
      <c r="P13" s="43"/>
      <c r="Q13" s="43"/>
    </row>
    <row r="14" ht="25.35" customHeight="1" spans="1:17">
      <c r="A14" s="37" t="s">
        <v>36</v>
      </c>
      <c r="B14" s="49" t="str">
        <f>IFERROR(VLOOKUP(B13,S1:T4,2,),"")</f>
        <v>Waters H-Class</v>
      </c>
      <c r="C14" s="49"/>
      <c r="D14" s="48"/>
      <c r="E14" s="48"/>
      <c r="F14" s="48"/>
      <c r="G14" s="43"/>
      <c r="H14" s="43"/>
      <c r="J14" s="43"/>
      <c r="K14" s="83"/>
      <c r="N14" s="43"/>
      <c r="O14" s="43"/>
      <c r="P14" s="43"/>
      <c r="Q14" s="43"/>
    </row>
    <row r="15" ht="23.1" customHeight="1" spans="1:17">
      <c r="A15" s="37" t="s">
        <v>37</v>
      </c>
      <c r="B15" s="47"/>
      <c r="C15" s="47"/>
      <c r="D15" s="47"/>
      <c r="E15" s="47"/>
      <c r="F15" s="47"/>
      <c r="G15" s="50"/>
      <c r="H15" s="50"/>
      <c r="I15" s="32"/>
      <c r="J15" s="43"/>
      <c r="K15" s="32"/>
      <c r="L15" s="32"/>
      <c r="M15" s="50"/>
      <c r="N15" s="50"/>
      <c r="O15" s="50"/>
      <c r="P15" s="50"/>
      <c r="Q15" s="50"/>
    </row>
    <row r="16" ht="22.35" customHeight="1" spans="1:6">
      <c r="A16" s="51" t="s">
        <v>38</v>
      </c>
      <c r="B16" s="52">
        <v>1</v>
      </c>
      <c r="C16" s="52"/>
      <c r="D16" s="52"/>
      <c r="E16" s="52"/>
      <c r="F16" s="52"/>
    </row>
    <row r="17" ht="51.9" customHeight="1" spans="1:6">
      <c r="A17" s="53" t="s">
        <v>39</v>
      </c>
      <c r="B17" s="51" t="s">
        <v>40</v>
      </c>
      <c r="C17" s="54" t="s">
        <v>41</v>
      </c>
      <c r="D17" s="54"/>
      <c r="E17" s="51" t="s">
        <v>42</v>
      </c>
      <c r="F17" s="55">
        <v>35</v>
      </c>
    </row>
    <row r="18" ht="87.6" customHeight="1" spans="1:6">
      <c r="A18" s="56"/>
      <c r="B18" s="51" t="s">
        <v>43</v>
      </c>
      <c r="C18" s="57" t="s">
        <v>44</v>
      </c>
      <c r="D18" s="57"/>
      <c r="E18" s="51" t="s">
        <v>45</v>
      </c>
      <c r="F18" s="58" t="s">
        <v>46</v>
      </c>
    </row>
    <row r="19" ht="41.4" customHeight="1" spans="1:6">
      <c r="A19" s="56"/>
      <c r="B19" s="51" t="s">
        <v>47</v>
      </c>
      <c r="C19" s="59">
        <v>0.2</v>
      </c>
      <c r="D19" s="59"/>
      <c r="E19" s="51" t="s">
        <v>48</v>
      </c>
      <c r="F19" s="52">
        <v>10</v>
      </c>
    </row>
    <row r="20" ht="33.45" customHeight="1" spans="1:6">
      <c r="A20" s="60"/>
      <c r="B20" s="51" t="s">
        <v>49</v>
      </c>
      <c r="C20" s="61">
        <v>355</v>
      </c>
      <c r="D20" s="62"/>
      <c r="E20" s="62"/>
      <c r="F20" s="63"/>
    </row>
    <row r="21" s="32" customFormat="1" ht="47.4" customHeight="1" spans="1:17">
      <c r="A21" s="64" t="s">
        <v>50</v>
      </c>
      <c r="B21" s="65" t="s">
        <v>51</v>
      </c>
      <c r="C21" s="66"/>
      <c r="D21" s="66"/>
      <c r="E21" s="65" t="s">
        <v>52</v>
      </c>
      <c r="F21" s="66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ht="42.9" customHeight="1" spans="1:6">
      <c r="A22" s="64"/>
      <c r="B22" s="65" t="s">
        <v>53</v>
      </c>
      <c r="C22" s="67"/>
      <c r="D22" s="68"/>
      <c r="E22" s="68"/>
      <c r="F22" s="69"/>
    </row>
    <row r="23" ht="26.1" customHeight="1" spans="1:6">
      <c r="A23" s="70" t="s">
        <v>54</v>
      </c>
      <c r="B23" s="71">
        <v>0</v>
      </c>
      <c r="C23" s="72"/>
      <c r="D23" s="72"/>
      <c r="E23" s="72"/>
      <c r="F23" s="73" t="str">
        <f>IF(B23=0,"ND",B23)</f>
        <v>ND</v>
      </c>
    </row>
    <row r="24" ht="26.1" customHeight="1" spans="1:6">
      <c r="A24" s="70" t="s">
        <v>55</v>
      </c>
      <c r="B24" s="74" t="s">
        <v>56</v>
      </c>
      <c r="C24" s="74"/>
      <c r="D24" s="74"/>
      <c r="E24" s="74"/>
      <c r="F24" s="74"/>
    </row>
    <row r="25" customHeight="1" spans="1:6">
      <c r="A25" s="75" t="s">
        <v>57</v>
      </c>
      <c r="B25" s="75"/>
      <c r="C25" s="75"/>
      <c r="D25" s="75"/>
      <c r="E25" s="75"/>
      <c r="F25" s="75"/>
    </row>
    <row r="26" customHeight="1" spans="1:6">
      <c r="A26" s="37" t="s">
        <v>58</v>
      </c>
      <c r="B26" s="3"/>
      <c r="C26" s="3"/>
      <c r="D26" s="3"/>
      <c r="E26" s="3"/>
      <c r="F26" s="3"/>
    </row>
    <row r="27" customHeight="1" spans="1:6">
      <c r="A27" s="37" t="s">
        <v>59</v>
      </c>
      <c r="B27" s="3"/>
      <c r="C27" s="3"/>
      <c r="D27" s="3"/>
      <c r="E27" s="3"/>
      <c r="F27" s="3"/>
    </row>
    <row r="28" customHeight="1" spans="1:6">
      <c r="A28" s="37" t="s">
        <v>60</v>
      </c>
      <c r="B28" s="3"/>
      <c r="C28" s="3"/>
      <c r="D28" s="3"/>
      <c r="E28" s="3"/>
      <c r="F28" s="3"/>
    </row>
  </sheetData>
  <sheetProtection formatCells="0" formatColumns="0" formatRows="0" sort="0" autoFilter="0" pivotTables="0"/>
  <mergeCells count="38">
    <mergeCell ref="A1:F1"/>
    <mergeCell ref="B2:F2"/>
    <mergeCell ref="B3:F3"/>
    <mergeCell ref="B4:F4"/>
    <mergeCell ref="B5:F5"/>
    <mergeCell ref="B6:F6"/>
    <mergeCell ref="B7:F7"/>
    <mergeCell ref="B8:F8"/>
    <mergeCell ref="B9:F9"/>
    <mergeCell ref="B10:C10"/>
    <mergeCell ref="E10:F10"/>
    <mergeCell ref="J10:K10"/>
    <mergeCell ref="B11:F11"/>
    <mergeCell ref="K11:M11"/>
    <mergeCell ref="B12:F12"/>
    <mergeCell ref="K12:M12"/>
    <mergeCell ref="B13:F13"/>
    <mergeCell ref="B14:F14"/>
    <mergeCell ref="B15:F15"/>
    <mergeCell ref="B16:F16"/>
    <mergeCell ref="C17:D17"/>
    <mergeCell ref="C18:D18"/>
    <mergeCell ref="C19:D19"/>
    <mergeCell ref="C20:F20"/>
    <mergeCell ref="C21:D21"/>
    <mergeCell ref="C22:F22"/>
    <mergeCell ref="B23:E23"/>
    <mergeCell ref="B24:F24"/>
    <mergeCell ref="A25:F25"/>
    <mergeCell ref="B26:F26"/>
    <mergeCell ref="B27:F27"/>
    <mergeCell ref="B28:F28"/>
    <mergeCell ref="A17:A20"/>
    <mergeCell ref="A21:A22"/>
    <mergeCell ref="I2:K3"/>
    <mergeCell ref="M2:O3"/>
    <mergeCell ref="I5:K7"/>
    <mergeCell ref="M5:O7"/>
  </mergeCells>
  <dataValidations count="1">
    <dataValidation type="list" allowBlank="1" showInputMessage="1" sqref="B13:F13">
      <formula1>$S$1:$S$2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373"/>
  <sheetViews>
    <sheetView zoomScale="70" zoomScaleNormal="70" workbookViewId="0">
      <selection activeCell="L17" sqref="L17"/>
    </sheetView>
  </sheetViews>
  <sheetFormatPr defaultColWidth="9" defaultRowHeight="13.8"/>
  <cols>
    <col min="1" max="1" width="9" style="2"/>
    <col min="2" max="2" width="15.1111111111111" style="3" customWidth="1"/>
    <col min="3" max="3" width="18.8888888888889" style="3" customWidth="1"/>
    <col min="4" max="4" width="22.1111111111111" style="4" customWidth="1"/>
    <col min="5" max="5" width="23.1111111111111" style="4" customWidth="1"/>
    <col min="6" max="6" width="21.8888888888889" style="4" customWidth="1"/>
    <col min="7" max="7" width="14.1111111111111" style="5" customWidth="1"/>
    <col min="8" max="9" width="19.7777777777778" style="4" customWidth="1"/>
    <col min="10" max="14" width="11.3333333333333" style="6" customWidth="1"/>
    <col min="15" max="15" width="12.4444444444444" style="4" customWidth="1"/>
    <col min="16" max="16384" width="9" style="2"/>
  </cols>
  <sheetData>
    <row r="1" ht="20.25" customHeight="1" spans="1:15">
      <c r="A1" s="7"/>
      <c r="B1" s="7"/>
      <c r="C1" s="7"/>
      <c r="D1" s="8"/>
      <c r="E1" s="9"/>
      <c r="F1" s="9"/>
      <c r="G1" s="10"/>
      <c r="H1" s="9"/>
      <c r="I1" s="9"/>
      <c r="J1" s="23"/>
      <c r="K1" s="23"/>
      <c r="L1" s="23"/>
      <c r="M1" s="23"/>
      <c r="N1" s="23"/>
      <c r="O1" s="24"/>
    </row>
    <row r="2" s="1" customFormat="1" ht="25.2" customHeight="1" spans="1:28">
      <c r="A2" s="11" t="s">
        <v>61</v>
      </c>
      <c r="B2" s="11" t="s">
        <v>62</v>
      </c>
      <c r="C2" s="12" t="s">
        <v>63</v>
      </c>
      <c r="D2" s="12" t="s">
        <v>15</v>
      </c>
      <c r="E2" s="13" t="s">
        <v>64</v>
      </c>
      <c r="F2" s="14"/>
      <c r="G2" s="15"/>
      <c r="H2" s="13" t="s">
        <v>65</v>
      </c>
      <c r="I2" s="15"/>
      <c r="J2" s="25" t="s">
        <v>66</v>
      </c>
      <c r="K2" s="25"/>
      <c r="L2" s="25"/>
      <c r="M2" s="25"/>
      <c r="N2" s="25"/>
      <c r="O2" s="26" t="s">
        <v>67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="1" customFormat="1" ht="21" customHeight="1" spans="1:28">
      <c r="A3" s="16"/>
      <c r="B3" s="16"/>
      <c r="C3" s="17"/>
      <c r="D3" s="17"/>
      <c r="E3" s="13" t="s">
        <v>68</v>
      </c>
      <c r="F3" s="15"/>
      <c r="G3" s="18" t="s">
        <v>69</v>
      </c>
      <c r="H3" s="12" t="s">
        <v>70</v>
      </c>
      <c r="I3" s="12" t="s">
        <v>71</v>
      </c>
      <c r="J3" s="25" t="s">
        <v>72</v>
      </c>
      <c r="K3" s="27" t="s">
        <v>73</v>
      </c>
      <c r="L3" s="25" t="s">
        <v>74</v>
      </c>
      <c r="M3" s="25" t="s">
        <v>75</v>
      </c>
      <c r="N3" s="28" t="s">
        <v>76</v>
      </c>
      <c r="O3" s="26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4" s="1" customFormat="1" ht="21" customHeight="1" spans="1:28">
      <c r="A4" s="19"/>
      <c r="B4" s="19"/>
      <c r="C4" s="20"/>
      <c r="D4" s="20"/>
      <c r="E4" s="21" t="s">
        <v>77</v>
      </c>
      <c r="F4" s="21" t="s">
        <v>78</v>
      </c>
      <c r="G4" s="22"/>
      <c r="H4" s="20"/>
      <c r="I4" s="20"/>
      <c r="J4" s="25"/>
      <c r="K4" s="29"/>
      <c r="L4" s="30"/>
      <c r="M4" s="30"/>
      <c r="N4" s="31"/>
      <c r="O4" s="26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</row>
    <row r="5" ht="20.25" customHeight="1" spans="1:9">
      <c r="A5" s="3"/>
      <c r="G5" s="5" t="str">
        <f>IFERROR(IF(ISBLANK(H5),"",IF(I5="ND","否","是")),"")</f>
        <v/>
      </c>
      <c r="I5" s="5" t="str">
        <f>IFERROR(IF(H5="ND","ND",baoliuxiaoshuwei(((H5-基础页!$B$23)*基础页!$B$16)/C5*5,2)),"")</f>
        <v/>
      </c>
    </row>
    <row r="6" ht="20.25" customHeight="1" spans="1:9">
      <c r="A6" s="3"/>
      <c r="G6" s="5" t="str">
        <f t="shared" ref="G6:G69" si="0">IFERROR(IF(ISBLANK(H6),"",IF(I6="ND","否","是")),"")</f>
        <v/>
      </c>
      <c r="I6" s="5" t="str">
        <f>IFERROR(IF(H6="ND","ND",baoliuxiaoshuwei(((H6-基础页!$B$23)*基础页!$B$16)/C6*5,2)),"")</f>
        <v/>
      </c>
    </row>
    <row r="7" ht="20.25" customHeight="1" spans="1:9">
      <c r="A7" s="3"/>
      <c r="G7" s="5" t="str">
        <f t="shared" si="0"/>
        <v/>
      </c>
      <c r="I7" s="5" t="str">
        <f>IFERROR(IF(H7="ND","ND",baoliuxiaoshuwei(((H7-基础页!$B$23)*基础页!$B$16)/C7*5,2)),"")</f>
        <v/>
      </c>
    </row>
    <row r="8" ht="20.25" customHeight="1" spans="1:9">
      <c r="A8" s="3"/>
      <c r="G8" s="5" t="str">
        <f t="shared" si="0"/>
        <v/>
      </c>
      <c r="I8" s="5" t="str">
        <f>IFERROR(IF(H8="ND","ND",baoliuxiaoshuwei(((H8-基础页!$B$23)*基础页!$B$16)/C8*5,2)),"")</f>
        <v/>
      </c>
    </row>
    <row r="9" ht="20.25" customHeight="1" spans="1:9">
      <c r="A9" s="3"/>
      <c r="G9" s="5" t="str">
        <f t="shared" si="0"/>
        <v/>
      </c>
      <c r="I9" s="5" t="str">
        <f>IFERROR(IF(H9="ND","ND",baoliuxiaoshuwei(((H9-基础页!$B$23)*基础页!$B$16)/C9*5,2)),"")</f>
        <v/>
      </c>
    </row>
    <row r="10" ht="20.25" customHeight="1" spans="1:9">
      <c r="A10" s="3"/>
      <c r="G10" s="5" t="str">
        <f t="shared" si="0"/>
        <v/>
      </c>
      <c r="I10" s="5" t="str">
        <f>IFERROR(IF(H10="ND","ND",baoliuxiaoshuwei(((H10-基础页!$B$23)*基础页!$B$16)/C10*5,2)),"")</f>
        <v/>
      </c>
    </row>
    <row r="11" ht="20.25" customHeight="1" spans="1:9">
      <c r="A11" s="3"/>
      <c r="G11" s="5" t="str">
        <f t="shared" si="0"/>
        <v/>
      </c>
      <c r="I11" s="5" t="str">
        <f>IFERROR(IF(H11="ND","ND",baoliuxiaoshuwei(((H11-基础页!$B$23)*基础页!$B$16)/C11*5,2)),"")</f>
        <v/>
      </c>
    </row>
    <row r="12" ht="20.25" customHeight="1" spans="1:9">
      <c r="A12" s="3"/>
      <c r="G12" s="5" t="str">
        <f t="shared" si="0"/>
        <v/>
      </c>
      <c r="I12" s="5" t="str">
        <f>IFERROR(IF(H12="ND","ND",baoliuxiaoshuwei(((H12-基础页!$B$23)*基础页!$B$16)/C12*5,2)),"")</f>
        <v/>
      </c>
    </row>
    <row r="13" ht="20.25" customHeight="1" spans="1:9">
      <c r="A13" s="3"/>
      <c r="G13" s="5" t="str">
        <f t="shared" si="0"/>
        <v/>
      </c>
      <c r="I13" s="5" t="str">
        <f>IFERROR(IF(H13="ND","ND",baoliuxiaoshuwei(((H13-基础页!$B$23)*基础页!$B$16)/C13*5,2)),"")</f>
        <v/>
      </c>
    </row>
    <row r="14" ht="20.25" customHeight="1" spans="1:9">
      <c r="A14" s="3"/>
      <c r="G14" s="5" t="str">
        <f t="shared" si="0"/>
        <v/>
      </c>
      <c r="I14" s="5" t="str">
        <f>IFERROR(IF(H14="ND","ND",baoliuxiaoshuwei(((H14-基础页!$B$23)*基础页!$B$16)/C14*5,2)),"")</f>
        <v/>
      </c>
    </row>
    <row r="15" ht="20.25" customHeight="1" spans="1:9">
      <c r="A15" s="3"/>
      <c r="G15" s="5" t="str">
        <f t="shared" si="0"/>
        <v/>
      </c>
      <c r="I15" s="5" t="str">
        <f>IFERROR(IF(H15="ND","ND",baoliuxiaoshuwei(((H15-基础页!$B$23)*基础页!$B$16)/C15*5,2)),"")</f>
        <v/>
      </c>
    </row>
    <row r="16" ht="20.25" customHeight="1" spans="1:9">
      <c r="A16" s="3"/>
      <c r="G16" s="5" t="str">
        <f t="shared" si="0"/>
        <v/>
      </c>
      <c r="I16" s="5" t="str">
        <f>IFERROR(IF(H16="ND","ND",baoliuxiaoshuwei(((H16-基础页!$B$23)*基础页!$B$16)/C16*5,2)),"")</f>
        <v/>
      </c>
    </row>
    <row r="17" ht="20.25" customHeight="1" spans="1:9">
      <c r="A17" s="3"/>
      <c r="G17" s="5" t="str">
        <f t="shared" si="0"/>
        <v/>
      </c>
      <c r="I17" s="5" t="str">
        <f>IFERROR(IF(H17="ND","ND",baoliuxiaoshuwei(((H17-基础页!$B$23)*基础页!$B$16)/C17*5,2)),"")</f>
        <v/>
      </c>
    </row>
    <row r="18" ht="20.25" customHeight="1" spans="1:9">
      <c r="A18" s="3"/>
      <c r="G18" s="5" t="str">
        <f t="shared" si="0"/>
        <v/>
      </c>
      <c r="I18" s="5" t="str">
        <f>IFERROR(IF(H18="ND","ND",baoliuxiaoshuwei(((H18-基础页!$B$23)*基础页!$B$16)/C18*5,2)),"")</f>
        <v/>
      </c>
    </row>
    <row r="19" ht="20.25" customHeight="1" spans="1:9">
      <c r="A19" s="3"/>
      <c r="G19" s="5" t="str">
        <f t="shared" si="0"/>
        <v/>
      </c>
      <c r="I19" s="5" t="str">
        <f>IFERROR(IF(H19="ND","ND",baoliuxiaoshuwei(((H19-基础页!$B$23)*基础页!$B$16)/C19*5,2)),"")</f>
        <v/>
      </c>
    </row>
    <row r="20" ht="20.25" customHeight="1" spans="1:9">
      <c r="A20" s="3"/>
      <c r="G20" s="5" t="str">
        <f t="shared" si="0"/>
        <v/>
      </c>
      <c r="I20" s="5" t="str">
        <f>IFERROR(IF(H20="ND","ND",baoliuxiaoshuwei(((H20-基础页!$B$23)*基础页!$B$16)/C20*5,2)),"")</f>
        <v/>
      </c>
    </row>
    <row r="21" ht="20.25" customHeight="1" spans="1:9">
      <c r="A21" s="3"/>
      <c r="G21" s="5" t="str">
        <f t="shared" si="0"/>
        <v/>
      </c>
      <c r="I21" s="5" t="str">
        <f>IFERROR(IF(H21="ND","ND",baoliuxiaoshuwei(((H21-基础页!$B$23)*基础页!$B$16)/C21*5,2)),"")</f>
        <v/>
      </c>
    </row>
    <row r="22" ht="20.25" customHeight="1" spans="1:9">
      <c r="A22" s="3"/>
      <c r="G22" s="5" t="str">
        <f t="shared" si="0"/>
        <v/>
      </c>
      <c r="I22" s="5" t="str">
        <f>IFERROR(IF(H22="ND","ND",baoliuxiaoshuwei(((H22-基础页!$B$23)*基础页!$B$16)/C22*5,2)),"")</f>
        <v/>
      </c>
    </row>
    <row r="23" ht="20.25" customHeight="1" spans="1:9">
      <c r="A23" s="3"/>
      <c r="G23" s="5" t="str">
        <f t="shared" si="0"/>
        <v/>
      </c>
      <c r="I23" s="5" t="str">
        <f>IFERROR(IF(H23="ND","ND",baoliuxiaoshuwei(((H23-基础页!$B$23)*基础页!$B$16)/C23*5,2)),"")</f>
        <v/>
      </c>
    </row>
    <row r="24" ht="20.25" customHeight="1" spans="1:9">
      <c r="A24" s="3"/>
      <c r="G24" s="5" t="str">
        <f t="shared" si="0"/>
        <v/>
      </c>
      <c r="I24" s="5" t="str">
        <f>IFERROR(IF(H24="ND","ND",baoliuxiaoshuwei(((H24-基础页!$B$23)*基础页!$B$16)/C24*5,2)),"")</f>
        <v/>
      </c>
    </row>
    <row r="25" ht="20.25" customHeight="1" spans="1:9">
      <c r="A25" s="3"/>
      <c r="G25" s="5" t="str">
        <f t="shared" si="0"/>
        <v/>
      </c>
      <c r="I25" s="5" t="str">
        <f>IFERROR(IF(H25="ND","ND",baoliuxiaoshuwei(((H25-基础页!$B$23)*基础页!$B$16)/C25*5,2)),"")</f>
        <v/>
      </c>
    </row>
    <row r="26" ht="20.25" customHeight="1" spans="1:9">
      <c r="A26" s="3"/>
      <c r="G26" s="5" t="str">
        <f t="shared" si="0"/>
        <v/>
      </c>
      <c r="I26" s="5" t="str">
        <f>IFERROR(IF(H26="ND","ND",baoliuxiaoshuwei(((H26-基础页!$B$23)*基础页!$B$16)/C26*5,2)),"")</f>
        <v/>
      </c>
    </row>
    <row r="27" ht="20.25" customHeight="1" spans="1:9">
      <c r="A27" s="3"/>
      <c r="G27" s="5" t="str">
        <f t="shared" si="0"/>
        <v/>
      </c>
      <c r="I27" s="5" t="str">
        <f>IFERROR(IF(H27="ND","ND",baoliuxiaoshuwei(((H27-基础页!$B$23)*基础页!$B$16)/C27*5,2)),"")</f>
        <v/>
      </c>
    </row>
    <row r="28" ht="20.25" customHeight="1" spans="1:9">
      <c r="A28" s="3"/>
      <c r="G28" s="5" t="str">
        <f t="shared" si="0"/>
        <v/>
      </c>
      <c r="I28" s="5" t="str">
        <f>IFERROR(IF(H28="ND","ND",baoliuxiaoshuwei(((H28-基础页!$B$23)*基础页!$B$16)/C28*5,2)),"")</f>
        <v/>
      </c>
    </row>
    <row r="29" ht="20.25" customHeight="1" spans="1:9">
      <c r="A29" s="3"/>
      <c r="G29" s="5" t="str">
        <f t="shared" si="0"/>
        <v/>
      </c>
      <c r="I29" s="5" t="str">
        <f>IFERROR(IF(H29="ND","ND",baoliuxiaoshuwei(((H29-基础页!$B$23)*基础页!$B$16)/C29*5,2)),"")</f>
        <v/>
      </c>
    </row>
    <row r="30" ht="20.25" customHeight="1" spans="1:9">
      <c r="A30" s="3"/>
      <c r="G30" s="5" t="str">
        <f t="shared" si="0"/>
        <v/>
      </c>
      <c r="I30" s="5" t="str">
        <f>IFERROR(IF(H30="ND","ND",baoliuxiaoshuwei(((H30-基础页!$B$23)*基础页!$B$16)/C30*5,2)),"")</f>
        <v/>
      </c>
    </row>
    <row r="31" ht="20.25" customHeight="1" spans="1:9">
      <c r="A31" s="3"/>
      <c r="G31" s="5" t="str">
        <f t="shared" si="0"/>
        <v/>
      </c>
      <c r="I31" s="5" t="str">
        <f>IFERROR(IF(H31="ND","ND",baoliuxiaoshuwei(((H31-基础页!$B$23)*基础页!$B$16)/C31*5,2)),"")</f>
        <v/>
      </c>
    </row>
    <row r="32" ht="20.25" customHeight="1" spans="1:9">
      <c r="A32" s="3"/>
      <c r="G32" s="5" t="str">
        <f t="shared" si="0"/>
        <v/>
      </c>
      <c r="I32" s="5" t="str">
        <f>IFERROR(IF(H32="ND","ND",baoliuxiaoshuwei(((H32-基础页!$B$23)*基础页!$B$16)/C32*5,2)),"")</f>
        <v/>
      </c>
    </row>
    <row r="33" ht="20.25" customHeight="1" spans="1:9">
      <c r="A33" s="3"/>
      <c r="G33" s="5" t="str">
        <f t="shared" si="0"/>
        <v/>
      </c>
      <c r="I33" s="5" t="str">
        <f>IFERROR(IF(H33="ND","ND",baoliuxiaoshuwei(((H33-基础页!$B$23)*基础页!$B$16)/C33*5,2)),"")</f>
        <v/>
      </c>
    </row>
    <row r="34" ht="20.25" customHeight="1" spans="1:9">
      <c r="A34" s="3"/>
      <c r="G34" s="5" t="str">
        <f t="shared" si="0"/>
        <v/>
      </c>
      <c r="I34" s="5" t="str">
        <f>IFERROR(IF(H34="ND","ND",baoliuxiaoshuwei(((H34-基础页!$B$23)*基础页!$B$16)/C34*5,2)),"")</f>
        <v/>
      </c>
    </row>
    <row r="35" ht="20.25" customHeight="1" spans="1:9">
      <c r="A35" s="3"/>
      <c r="G35" s="5" t="str">
        <f t="shared" si="0"/>
        <v/>
      </c>
      <c r="I35" s="5" t="str">
        <f>IFERROR(IF(H35="ND","ND",baoliuxiaoshuwei(((H35-基础页!$B$23)*基础页!$B$16)/C35*5,2)),"")</f>
        <v/>
      </c>
    </row>
    <row r="36" ht="20.25" customHeight="1" spans="1:9">
      <c r="A36" s="3"/>
      <c r="G36" s="5" t="str">
        <f t="shared" si="0"/>
        <v/>
      </c>
      <c r="I36" s="5" t="str">
        <f>IFERROR(IF(H36="ND","ND",baoliuxiaoshuwei(((H36-基础页!$B$23)*基础页!$B$16)/C36*5,2)),"")</f>
        <v/>
      </c>
    </row>
    <row r="37" ht="20.25" customHeight="1" spans="1:9">
      <c r="A37" s="3"/>
      <c r="G37" s="5" t="str">
        <f t="shared" si="0"/>
        <v/>
      </c>
      <c r="I37" s="5" t="str">
        <f>IFERROR(IF(H37="ND","ND",baoliuxiaoshuwei(((H37-基础页!$B$23)*基础页!$B$16)/C37*5,2)),"")</f>
        <v/>
      </c>
    </row>
    <row r="38" ht="20.25" customHeight="1" spans="1:9">
      <c r="A38" s="3"/>
      <c r="G38" s="5" t="str">
        <f t="shared" si="0"/>
        <v/>
      </c>
      <c r="I38" s="5" t="str">
        <f>IFERROR(IF(H38="ND","ND",baoliuxiaoshuwei(((H38-基础页!$B$23)*基础页!$B$16)/C38*5,2)),"")</f>
        <v/>
      </c>
    </row>
    <row r="39" ht="20.25" customHeight="1" spans="1:9">
      <c r="A39" s="3"/>
      <c r="G39" s="5" t="str">
        <f t="shared" si="0"/>
        <v/>
      </c>
      <c r="I39" s="5" t="str">
        <f>IFERROR(IF(H39="ND","ND",baoliuxiaoshuwei(((H39-基础页!$B$23)*基础页!$B$16)/C39*5,2)),"")</f>
        <v/>
      </c>
    </row>
    <row r="40" ht="20.25" customHeight="1" spans="1:9">
      <c r="A40" s="3"/>
      <c r="G40" s="5" t="str">
        <f t="shared" si="0"/>
        <v/>
      </c>
      <c r="I40" s="5" t="str">
        <f>IFERROR(IF(H40="ND","ND",baoliuxiaoshuwei(((H40-基础页!$B$23)*基础页!$B$16)/C40*5,2)),"")</f>
        <v/>
      </c>
    </row>
    <row r="41" ht="20.25" customHeight="1" spans="1:9">
      <c r="A41" s="3"/>
      <c r="G41" s="5" t="str">
        <f t="shared" si="0"/>
        <v/>
      </c>
      <c r="I41" s="5" t="str">
        <f>IFERROR(IF(H41="ND","ND",baoliuxiaoshuwei(((H41-基础页!$B$23)*基础页!$B$16)/C41*5,2)),"")</f>
        <v/>
      </c>
    </row>
    <row r="42" ht="20.25" customHeight="1" spans="1:9">
      <c r="A42" s="3"/>
      <c r="G42" s="5" t="str">
        <f t="shared" si="0"/>
        <v/>
      </c>
      <c r="I42" s="5" t="str">
        <f>IFERROR(IF(H42="ND","ND",baoliuxiaoshuwei(((H42-基础页!$B$23)*基础页!$B$16)/C42*5,2)),"")</f>
        <v/>
      </c>
    </row>
    <row r="43" ht="20.25" customHeight="1" spans="1:9">
      <c r="A43" s="3"/>
      <c r="G43" s="5" t="str">
        <f t="shared" si="0"/>
        <v/>
      </c>
      <c r="I43" s="5" t="str">
        <f>IFERROR(IF(H43="ND","ND",baoliuxiaoshuwei(((H43-基础页!$B$23)*基础页!$B$16)/C43*5,2)),"")</f>
        <v/>
      </c>
    </row>
    <row r="44" ht="20.25" customHeight="1" spans="1:9">
      <c r="A44" s="3"/>
      <c r="G44" s="5" t="str">
        <f t="shared" si="0"/>
        <v/>
      </c>
      <c r="I44" s="5" t="str">
        <f>IFERROR(IF(H44="ND","ND",baoliuxiaoshuwei(((H44-基础页!$B$23)*基础页!$B$16)/C44*5,2)),"")</f>
        <v/>
      </c>
    </row>
    <row r="45" ht="20.25" customHeight="1" spans="1:9">
      <c r="A45" s="3"/>
      <c r="G45" s="5" t="str">
        <f t="shared" si="0"/>
        <v/>
      </c>
      <c r="I45" s="5" t="str">
        <f>IFERROR(IF(H45="ND","ND",baoliuxiaoshuwei(((H45-基础页!$B$23)*基础页!$B$16)/C45*5,2)),"")</f>
        <v/>
      </c>
    </row>
    <row r="46" ht="20.25" customHeight="1" spans="1:9">
      <c r="A46" s="3"/>
      <c r="G46" s="5" t="str">
        <f t="shared" si="0"/>
        <v/>
      </c>
      <c r="I46" s="5" t="str">
        <f>IFERROR(IF(H46="ND","ND",baoliuxiaoshuwei(((H46-基础页!$B$23)*基础页!$B$16)/C46*5,2)),"")</f>
        <v/>
      </c>
    </row>
    <row r="47" ht="20.25" customHeight="1" spans="1:9">
      <c r="A47" s="3"/>
      <c r="G47" s="5" t="str">
        <f t="shared" si="0"/>
        <v/>
      </c>
      <c r="I47" s="5" t="str">
        <f>IFERROR(IF(H47="ND","ND",baoliuxiaoshuwei(((H47-基础页!$B$23)*基础页!$B$16)/C47*5,2)),"")</f>
        <v/>
      </c>
    </row>
    <row r="48" ht="20.25" customHeight="1" spans="1:9">
      <c r="A48" s="3"/>
      <c r="G48" s="5" t="str">
        <f t="shared" si="0"/>
        <v/>
      </c>
      <c r="I48" s="5" t="str">
        <f>IFERROR(IF(H48="ND","ND",baoliuxiaoshuwei(((H48-基础页!$B$23)*基础页!$B$16)/C48*5,2)),"")</f>
        <v/>
      </c>
    </row>
    <row r="49" ht="20.25" customHeight="1" spans="1:9">
      <c r="A49" s="3"/>
      <c r="G49" s="5" t="str">
        <f t="shared" si="0"/>
        <v/>
      </c>
      <c r="I49" s="5" t="str">
        <f>IFERROR(IF(H49="ND","ND",baoliuxiaoshuwei(((H49-基础页!$B$23)*基础页!$B$16)/C49*5,2)),"")</f>
        <v/>
      </c>
    </row>
    <row r="50" ht="20.25" customHeight="1" spans="1:9">
      <c r="A50" s="3"/>
      <c r="G50" s="5" t="str">
        <f t="shared" si="0"/>
        <v/>
      </c>
      <c r="I50" s="5" t="str">
        <f>IFERROR(IF(H50="ND","ND",baoliuxiaoshuwei(((H50-基础页!$B$23)*基础页!$B$16)/C50*5,2)),"")</f>
        <v/>
      </c>
    </row>
    <row r="51" ht="20.25" customHeight="1" spans="7:9">
      <c r="G51" s="5" t="str">
        <f t="shared" si="0"/>
        <v/>
      </c>
      <c r="I51" s="5" t="str">
        <f>IFERROR(IF(H51="ND","ND",baoliuxiaoshuwei(((H51-基础页!$B$23)*基础页!$B$16)/C51*5,2)),"")</f>
        <v/>
      </c>
    </row>
    <row r="52" ht="20.25" customHeight="1" spans="7:9">
      <c r="G52" s="5" t="str">
        <f t="shared" si="0"/>
        <v/>
      </c>
      <c r="I52" s="5" t="str">
        <f>IFERROR(IF(H52="ND","ND",baoliuxiaoshuwei(((H52-基础页!$B$23)*基础页!$B$16)/C52*5,2)),"")</f>
        <v/>
      </c>
    </row>
    <row r="53" ht="20.25" customHeight="1" spans="7:9">
      <c r="G53" s="5" t="str">
        <f t="shared" si="0"/>
        <v/>
      </c>
      <c r="I53" s="5" t="str">
        <f>IFERROR(IF(H53="ND","ND",baoliuxiaoshuwei(((H53-基础页!$B$23)*基础页!$B$16)/C53*5,2)),"")</f>
        <v/>
      </c>
    </row>
    <row r="54" ht="20.25" customHeight="1" spans="7:9">
      <c r="G54" s="5" t="str">
        <f t="shared" si="0"/>
        <v/>
      </c>
      <c r="I54" s="5" t="str">
        <f>IFERROR(IF(H54="ND","ND",baoliuxiaoshuwei(((H54-基础页!$B$23)*基础页!$B$16)/C54*5,2)),"")</f>
        <v/>
      </c>
    </row>
    <row r="55" ht="20.25" customHeight="1" spans="7:9">
      <c r="G55" s="5" t="str">
        <f t="shared" si="0"/>
        <v/>
      </c>
      <c r="I55" s="5" t="str">
        <f>IFERROR(IF(H55="ND","ND",baoliuxiaoshuwei(((H55-基础页!$B$23)*基础页!$B$16)/C55*5,2)),"")</f>
        <v/>
      </c>
    </row>
    <row r="56" ht="20.25" customHeight="1" spans="7:9">
      <c r="G56" s="5" t="str">
        <f t="shared" si="0"/>
        <v/>
      </c>
      <c r="I56" s="5" t="str">
        <f>IFERROR(IF(H56="ND","ND",baoliuxiaoshuwei(((H56-基础页!$B$23)*基础页!$B$16)/C56*5,2)),"")</f>
        <v/>
      </c>
    </row>
    <row r="57" ht="20.25" customHeight="1" spans="7:9">
      <c r="G57" s="5" t="str">
        <f t="shared" si="0"/>
        <v/>
      </c>
      <c r="I57" s="5" t="str">
        <f>IFERROR(IF(H57="ND","ND",baoliuxiaoshuwei(((H57-基础页!$B$23)*基础页!$B$16)/C57*5,2)),"")</f>
        <v/>
      </c>
    </row>
    <row r="58" ht="20.25" customHeight="1" spans="7:9">
      <c r="G58" s="5" t="str">
        <f t="shared" si="0"/>
        <v/>
      </c>
      <c r="I58" s="5" t="str">
        <f>IFERROR(IF(H58="ND","ND",baoliuxiaoshuwei(((H58-基础页!$B$23)*基础页!$B$16)/C58*5,2)),"")</f>
        <v/>
      </c>
    </row>
    <row r="59" ht="20.25" customHeight="1" spans="7:9">
      <c r="G59" s="5" t="str">
        <f t="shared" si="0"/>
        <v/>
      </c>
      <c r="I59" s="5" t="str">
        <f>IFERROR(IF(H59="ND","ND",baoliuxiaoshuwei(((H59-基础页!$B$23)*基础页!$B$16)/C59*5,2)),"")</f>
        <v/>
      </c>
    </row>
    <row r="60" ht="20.25" customHeight="1" spans="7:9">
      <c r="G60" s="5" t="str">
        <f t="shared" si="0"/>
        <v/>
      </c>
      <c r="I60" s="5" t="str">
        <f>IFERROR(IF(H60="ND","ND",baoliuxiaoshuwei(((H60-基础页!$B$23)*基础页!$B$16)/C60*5,2)),"")</f>
        <v/>
      </c>
    </row>
    <row r="61" ht="20.25" customHeight="1" spans="7:9">
      <c r="G61" s="5" t="str">
        <f t="shared" si="0"/>
        <v/>
      </c>
      <c r="I61" s="5" t="str">
        <f>IFERROR(IF(H61="ND","ND",baoliuxiaoshuwei(((H61-基础页!$B$23)*基础页!$B$16)/C61*5,2)),"")</f>
        <v/>
      </c>
    </row>
    <row r="62" ht="20.25" customHeight="1" spans="7:9">
      <c r="G62" s="5" t="str">
        <f t="shared" si="0"/>
        <v/>
      </c>
      <c r="I62" s="5" t="str">
        <f>IFERROR(IF(H62="ND","ND",baoliuxiaoshuwei(((H62-基础页!$B$23)*基础页!$B$16)/C62*5,2)),"")</f>
        <v/>
      </c>
    </row>
    <row r="63" ht="20.25" customHeight="1" spans="7:9">
      <c r="G63" s="5" t="str">
        <f t="shared" si="0"/>
        <v/>
      </c>
      <c r="I63" s="5" t="str">
        <f>IFERROR(IF(H63="ND","ND",baoliuxiaoshuwei(((H63-基础页!$B$23)*基础页!$B$16)/C63*5,2)),"")</f>
        <v/>
      </c>
    </row>
    <row r="64" ht="20.25" customHeight="1" spans="7:9">
      <c r="G64" s="5" t="str">
        <f t="shared" si="0"/>
        <v/>
      </c>
      <c r="I64" s="5" t="str">
        <f>IFERROR(IF(H64="ND","ND",baoliuxiaoshuwei(((H64-基础页!$B$23)*基础页!$B$16)/C64*5,2)),"")</f>
        <v/>
      </c>
    </row>
    <row r="65" ht="20.25" customHeight="1" spans="7:9">
      <c r="G65" s="5" t="str">
        <f t="shared" si="0"/>
        <v/>
      </c>
      <c r="I65" s="5" t="str">
        <f>IFERROR(IF(H65="ND","ND",baoliuxiaoshuwei(((H65-基础页!$B$23)*基础页!$B$16)/C65*5,2)),"")</f>
        <v/>
      </c>
    </row>
    <row r="66" ht="20.25" customHeight="1" spans="7:9">
      <c r="G66" s="5" t="str">
        <f t="shared" si="0"/>
        <v/>
      </c>
      <c r="I66" s="5" t="str">
        <f>IFERROR(IF(H66="ND","ND",baoliuxiaoshuwei(((H66-基础页!$B$23)*基础页!$B$16)/C66*5,2)),"")</f>
        <v/>
      </c>
    </row>
    <row r="67" ht="20.25" customHeight="1" spans="7:9">
      <c r="G67" s="5" t="str">
        <f t="shared" si="0"/>
        <v/>
      </c>
      <c r="I67" s="5" t="str">
        <f>IFERROR(IF(H67="ND","ND",baoliuxiaoshuwei(((H67-基础页!$B$23)*基础页!$B$16)/C67*5,2)),"")</f>
        <v/>
      </c>
    </row>
    <row r="68" ht="20.25" customHeight="1" spans="7:9">
      <c r="G68" s="5" t="str">
        <f t="shared" si="0"/>
        <v/>
      </c>
      <c r="I68" s="5" t="str">
        <f>IFERROR(IF(H68="ND","ND",baoliuxiaoshuwei(((H68-基础页!$B$23)*基础页!$B$16)/C68*5,2)),"")</f>
        <v/>
      </c>
    </row>
    <row r="69" ht="20.25" customHeight="1" spans="7:9">
      <c r="G69" s="5" t="str">
        <f t="shared" si="0"/>
        <v/>
      </c>
      <c r="I69" s="5" t="str">
        <f>IFERROR(IF(H69="ND","ND",baoliuxiaoshuwei(((H69-基础页!$B$23)*基础页!$B$16)/C69*5,2)),"")</f>
        <v/>
      </c>
    </row>
    <row r="70" ht="20.25" customHeight="1" spans="7:9">
      <c r="G70" s="5" t="str">
        <f t="shared" ref="G70:G133" si="1">IFERROR(IF(ISBLANK(H70),"",IF(I70="ND","否","是")),"")</f>
        <v/>
      </c>
      <c r="I70" s="5" t="str">
        <f>IFERROR(IF(H70="ND","ND",baoliuxiaoshuwei(((H70-基础页!$B$23)*基础页!$B$16)/C70*5,2)),"")</f>
        <v/>
      </c>
    </row>
    <row r="71" ht="20.25" customHeight="1" spans="7:9">
      <c r="G71" s="5" t="str">
        <f t="shared" si="1"/>
        <v/>
      </c>
      <c r="I71" s="5" t="str">
        <f>IFERROR(IF(H71="ND","ND",baoliuxiaoshuwei(((H71-基础页!$B$23)*基础页!$B$16)/C71*5,2)),"")</f>
        <v/>
      </c>
    </row>
    <row r="72" ht="20.25" customHeight="1" spans="7:9">
      <c r="G72" s="5" t="str">
        <f t="shared" si="1"/>
        <v/>
      </c>
      <c r="I72" s="5" t="str">
        <f>IFERROR(IF(H72="ND","ND",baoliuxiaoshuwei(((H72-基础页!$B$23)*基础页!$B$16)/C72*5,2)),"")</f>
        <v/>
      </c>
    </row>
    <row r="73" ht="20.25" customHeight="1" spans="7:9">
      <c r="G73" s="5" t="str">
        <f t="shared" si="1"/>
        <v/>
      </c>
      <c r="I73" s="5" t="str">
        <f>IFERROR(IF(H73="ND","ND",baoliuxiaoshuwei(((H73-基础页!$B$23)*基础页!$B$16)/C73*5,2)),"")</f>
        <v/>
      </c>
    </row>
    <row r="74" ht="20.25" customHeight="1" spans="7:9">
      <c r="G74" s="5" t="str">
        <f t="shared" si="1"/>
        <v/>
      </c>
      <c r="I74" s="5" t="str">
        <f>IFERROR(IF(H74="ND","ND",baoliuxiaoshuwei(((H74-基础页!$B$23)*基础页!$B$16)/C74*5,2)),"")</f>
        <v/>
      </c>
    </row>
    <row r="75" ht="20.25" customHeight="1" spans="7:9">
      <c r="G75" s="5" t="str">
        <f t="shared" si="1"/>
        <v/>
      </c>
      <c r="I75" s="5" t="str">
        <f>IFERROR(IF(H75="ND","ND",baoliuxiaoshuwei(((H75-基础页!$B$23)*基础页!$B$16)/C75*5,2)),"")</f>
        <v/>
      </c>
    </row>
    <row r="76" ht="20.25" customHeight="1" spans="7:9">
      <c r="G76" s="5" t="str">
        <f t="shared" si="1"/>
        <v/>
      </c>
      <c r="I76" s="5" t="str">
        <f>IFERROR(IF(H76="ND","ND",baoliuxiaoshuwei(((H76-基础页!$B$23)*基础页!$B$16)/C76*5,2)),"")</f>
        <v/>
      </c>
    </row>
    <row r="77" ht="20.25" customHeight="1" spans="7:9">
      <c r="G77" s="5" t="str">
        <f t="shared" si="1"/>
        <v/>
      </c>
      <c r="I77" s="5" t="str">
        <f>IFERROR(IF(H77="ND","ND",baoliuxiaoshuwei(((H77-基础页!$B$23)*基础页!$B$16)/C77*5,2)),"")</f>
        <v/>
      </c>
    </row>
    <row r="78" ht="20.25" customHeight="1" spans="7:9">
      <c r="G78" s="5" t="str">
        <f t="shared" si="1"/>
        <v/>
      </c>
      <c r="I78" s="5" t="str">
        <f>IFERROR(IF(H78="ND","ND",baoliuxiaoshuwei(((H78-基础页!$B$23)*基础页!$B$16)/C78*5,2)),"")</f>
        <v/>
      </c>
    </row>
    <row r="79" ht="20.25" customHeight="1" spans="7:9">
      <c r="G79" s="5" t="str">
        <f t="shared" si="1"/>
        <v/>
      </c>
      <c r="I79" s="5" t="str">
        <f>IFERROR(IF(H79="ND","ND",baoliuxiaoshuwei(((H79-基础页!$B$23)*基础页!$B$16)/C79*5,2)),"")</f>
        <v/>
      </c>
    </row>
    <row r="80" ht="20.25" customHeight="1" spans="7:9">
      <c r="G80" s="5" t="str">
        <f t="shared" si="1"/>
        <v/>
      </c>
      <c r="I80" s="5" t="str">
        <f>IFERROR(IF(H80="ND","ND",baoliuxiaoshuwei(((H80-基础页!$B$23)*基础页!$B$16)/C80*5,2)),"")</f>
        <v/>
      </c>
    </row>
    <row r="81" ht="20.25" customHeight="1" spans="7:9">
      <c r="G81" s="5" t="str">
        <f t="shared" si="1"/>
        <v/>
      </c>
      <c r="I81" s="5" t="str">
        <f>IFERROR(IF(H81="ND","ND",baoliuxiaoshuwei(((H81-基础页!$B$23)*基础页!$B$16)/C81*5,2)),"")</f>
        <v/>
      </c>
    </row>
    <row r="82" ht="20.25" customHeight="1" spans="7:9">
      <c r="G82" s="5" t="str">
        <f t="shared" si="1"/>
        <v/>
      </c>
      <c r="I82" s="5" t="str">
        <f>IFERROR(IF(H82="ND","ND",baoliuxiaoshuwei(((H82-基础页!$B$23)*基础页!$B$16)/C82*5,2)),"")</f>
        <v/>
      </c>
    </row>
    <row r="83" ht="20.25" customHeight="1" spans="7:9">
      <c r="G83" s="5" t="str">
        <f t="shared" si="1"/>
        <v/>
      </c>
      <c r="I83" s="5" t="str">
        <f>IFERROR(IF(H83="ND","ND",baoliuxiaoshuwei(((H83-基础页!$B$23)*基础页!$B$16)/C83*5,2)),"")</f>
        <v/>
      </c>
    </row>
    <row r="84" ht="20.25" customHeight="1" spans="7:9">
      <c r="G84" s="5" t="str">
        <f t="shared" si="1"/>
        <v/>
      </c>
      <c r="I84" s="5" t="str">
        <f>IFERROR(IF(H84="ND","ND",baoliuxiaoshuwei(((H84-基础页!$B$23)*基础页!$B$16)/C84*5,2)),"")</f>
        <v/>
      </c>
    </row>
    <row r="85" ht="20.25" customHeight="1" spans="7:9">
      <c r="G85" s="5" t="str">
        <f t="shared" si="1"/>
        <v/>
      </c>
      <c r="I85" s="5" t="str">
        <f>IFERROR(IF(H85="ND","ND",baoliuxiaoshuwei(((H85-基础页!$B$23)*基础页!$B$16)/C85*5,2)),"")</f>
        <v/>
      </c>
    </row>
    <row r="86" ht="20.25" customHeight="1" spans="7:9">
      <c r="G86" s="5" t="str">
        <f t="shared" si="1"/>
        <v/>
      </c>
      <c r="I86" s="5" t="str">
        <f>IFERROR(IF(H86="ND","ND",baoliuxiaoshuwei(((H86-基础页!$B$23)*基础页!$B$16)/C86*5,2)),"")</f>
        <v/>
      </c>
    </row>
    <row r="87" ht="20.25" customHeight="1" spans="7:9">
      <c r="G87" s="5" t="str">
        <f t="shared" si="1"/>
        <v/>
      </c>
      <c r="I87" s="5" t="str">
        <f>IFERROR(IF(H87="ND","ND",baoliuxiaoshuwei(((H87-基础页!$B$23)*基础页!$B$16)/C87*5,2)),"")</f>
        <v/>
      </c>
    </row>
    <row r="88" ht="20.25" customHeight="1" spans="7:9">
      <c r="G88" s="5" t="str">
        <f t="shared" si="1"/>
        <v/>
      </c>
      <c r="I88" s="5" t="str">
        <f>IFERROR(IF(H88="ND","ND",baoliuxiaoshuwei(((H88-基础页!$B$23)*基础页!$B$16)/C88*5,2)),"")</f>
        <v/>
      </c>
    </row>
    <row r="89" ht="20.25" customHeight="1" spans="7:9">
      <c r="G89" s="5" t="str">
        <f t="shared" si="1"/>
        <v/>
      </c>
      <c r="I89" s="5" t="str">
        <f>IFERROR(IF(H89="ND","ND",baoliuxiaoshuwei(((H89-基础页!$B$23)*基础页!$B$16)/C89*5,2)),"")</f>
        <v/>
      </c>
    </row>
    <row r="90" ht="20.25" customHeight="1" spans="7:9">
      <c r="G90" s="5" t="str">
        <f t="shared" si="1"/>
        <v/>
      </c>
      <c r="I90" s="5" t="str">
        <f>IFERROR(IF(H90="ND","ND",baoliuxiaoshuwei(((H90-基础页!$B$23)*基础页!$B$16)/C90*5,2)),"")</f>
        <v/>
      </c>
    </row>
    <row r="91" ht="20.25" customHeight="1" spans="7:9">
      <c r="G91" s="5" t="str">
        <f t="shared" si="1"/>
        <v/>
      </c>
      <c r="I91" s="5" t="str">
        <f>IFERROR(IF(H91="ND","ND",baoliuxiaoshuwei(((H91-基础页!$B$23)*基础页!$B$16)/C91*5,2)),"")</f>
        <v/>
      </c>
    </row>
    <row r="92" ht="20.25" customHeight="1" spans="7:9">
      <c r="G92" s="5" t="str">
        <f t="shared" si="1"/>
        <v/>
      </c>
      <c r="I92" s="5" t="str">
        <f>IFERROR(IF(H92="ND","ND",baoliuxiaoshuwei(((H92-基础页!$B$23)*基础页!$B$16)/C92*5,2)),"")</f>
        <v/>
      </c>
    </row>
    <row r="93" ht="20.25" customHeight="1" spans="7:9">
      <c r="G93" s="5" t="str">
        <f t="shared" si="1"/>
        <v/>
      </c>
      <c r="I93" s="5" t="str">
        <f>IFERROR(IF(H93="ND","ND",baoliuxiaoshuwei(((H93-基础页!$B$23)*基础页!$B$16)/C93*5,2)),"")</f>
        <v/>
      </c>
    </row>
    <row r="94" ht="20.25" customHeight="1" spans="7:9">
      <c r="G94" s="5" t="str">
        <f t="shared" si="1"/>
        <v/>
      </c>
      <c r="I94" s="5" t="str">
        <f>IFERROR(IF(H94="ND","ND",baoliuxiaoshuwei(((H94-基础页!$B$23)*基础页!$B$16)/C94*5,2)),"")</f>
        <v/>
      </c>
    </row>
    <row r="95" ht="20.25" customHeight="1" spans="7:9">
      <c r="G95" s="5" t="str">
        <f t="shared" si="1"/>
        <v/>
      </c>
      <c r="I95" s="5" t="str">
        <f>IFERROR(IF(H95="ND","ND",baoliuxiaoshuwei(((H95-基础页!$B$23)*基础页!$B$16)/C95*5,2)),"")</f>
        <v/>
      </c>
    </row>
    <row r="96" ht="20.25" customHeight="1" spans="7:9">
      <c r="G96" s="5" t="str">
        <f t="shared" si="1"/>
        <v/>
      </c>
      <c r="I96" s="5" t="str">
        <f>IFERROR(IF(H96="ND","ND",baoliuxiaoshuwei(((H96-基础页!$B$23)*基础页!$B$16)/C96*5,2)),"")</f>
        <v/>
      </c>
    </row>
    <row r="97" ht="20.25" customHeight="1" spans="7:9">
      <c r="G97" s="5" t="str">
        <f t="shared" si="1"/>
        <v/>
      </c>
      <c r="I97" s="5" t="str">
        <f>IFERROR(IF(H97="ND","ND",baoliuxiaoshuwei(((H97-基础页!$B$23)*基础页!$B$16)/C97*5,2)),"")</f>
        <v/>
      </c>
    </row>
    <row r="98" ht="20.25" customHeight="1" spans="7:9">
      <c r="G98" s="5" t="str">
        <f t="shared" si="1"/>
        <v/>
      </c>
      <c r="I98" s="5" t="str">
        <f>IFERROR(IF(H98="ND","ND",baoliuxiaoshuwei(((H98-基础页!$B$23)*基础页!$B$16)/C98*5,2)),"")</f>
        <v/>
      </c>
    </row>
    <row r="99" ht="20.25" customHeight="1" spans="7:9">
      <c r="G99" s="5" t="str">
        <f t="shared" si="1"/>
        <v/>
      </c>
      <c r="I99" s="5" t="str">
        <f>IFERROR(IF(H99="ND","ND",baoliuxiaoshuwei(((H99-基础页!$B$23)*基础页!$B$16)/C99*5,2)),"")</f>
        <v/>
      </c>
    </row>
    <row r="100" ht="20.25" customHeight="1" spans="7:9">
      <c r="G100" s="5" t="str">
        <f t="shared" si="1"/>
        <v/>
      </c>
      <c r="I100" s="5" t="str">
        <f>IFERROR(IF(H100="ND","ND",baoliuxiaoshuwei(((H100-基础页!$B$23)*基础页!$B$16)/C100*5,2)),"")</f>
        <v/>
      </c>
    </row>
    <row r="101" ht="20.25" customHeight="1" spans="7:9">
      <c r="G101" s="5" t="str">
        <f t="shared" si="1"/>
        <v/>
      </c>
      <c r="I101" s="5" t="str">
        <f>IFERROR(IF(H101="ND","ND",baoliuxiaoshuwei(((H101-基础页!$B$23)*基础页!$B$16)/C101*5,2)),"")</f>
        <v/>
      </c>
    </row>
    <row r="102" ht="20.25" customHeight="1" spans="7:9">
      <c r="G102" s="5" t="str">
        <f t="shared" si="1"/>
        <v/>
      </c>
      <c r="I102" s="5" t="str">
        <f>IFERROR(IF(H102="ND","ND",baoliuxiaoshuwei(((H102-基础页!$B$23)*基础页!$B$16)/C102*5,2)),"")</f>
        <v/>
      </c>
    </row>
    <row r="103" ht="20.25" customHeight="1" spans="7:9">
      <c r="G103" s="5" t="str">
        <f t="shared" si="1"/>
        <v/>
      </c>
      <c r="I103" s="5" t="str">
        <f>IFERROR(IF(H103="ND","ND",baoliuxiaoshuwei(((H103-基础页!$B$23)*基础页!$B$16)/C103*5,2)),"")</f>
        <v/>
      </c>
    </row>
    <row r="104" ht="20.25" customHeight="1" spans="7:9">
      <c r="G104" s="5" t="str">
        <f t="shared" si="1"/>
        <v/>
      </c>
      <c r="I104" s="5" t="str">
        <f>IFERROR(IF(H104="ND","ND",baoliuxiaoshuwei(((H104-基础页!$B$23)*基础页!$B$16)/C104*5,2)),"")</f>
        <v/>
      </c>
    </row>
    <row r="105" ht="20.25" customHeight="1" spans="7:9">
      <c r="G105" s="5" t="str">
        <f t="shared" si="1"/>
        <v/>
      </c>
      <c r="I105" s="5" t="str">
        <f>IFERROR(IF(H105="ND","ND",baoliuxiaoshuwei(((H105-基础页!$B$23)*基础页!$B$16)/C105*5,2)),"")</f>
        <v/>
      </c>
    </row>
    <row r="106" ht="20.25" customHeight="1" spans="7:9">
      <c r="G106" s="5" t="str">
        <f t="shared" si="1"/>
        <v/>
      </c>
      <c r="I106" s="5" t="str">
        <f>IFERROR(IF(H106="ND","ND",baoliuxiaoshuwei(((H106-基础页!$B$23)*基础页!$B$16)/C106*5,2)),"")</f>
        <v/>
      </c>
    </row>
    <row r="107" ht="20.25" customHeight="1" spans="7:9">
      <c r="G107" s="5" t="str">
        <f t="shared" si="1"/>
        <v/>
      </c>
      <c r="I107" s="5" t="str">
        <f>IFERROR(IF(H107="ND","ND",baoliuxiaoshuwei(((H107-基础页!$B$23)*基础页!$B$16)/C107*5,2)),"")</f>
        <v/>
      </c>
    </row>
    <row r="108" ht="20.25" customHeight="1" spans="7:9">
      <c r="G108" s="5" t="str">
        <f t="shared" si="1"/>
        <v/>
      </c>
      <c r="I108" s="5" t="str">
        <f>IFERROR(IF(H108="ND","ND",baoliuxiaoshuwei(((H108-基础页!$B$23)*基础页!$B$16)/C108*5,2)),"")</f>
        <v/>
      </c>
    </row>
    <row r="109" ht="20.25" customHeight="1" spans="7:9">
      <c r="G109" s="5" t="str">
        <f t="shared" si="1"/>
        <v/>
      </c>
      <c r="I109" s="5" t="str">
        <f>IFERROR(IF(H109="ND","ND",baoliuxiaoshuwei(((H109-基础页!$B$23)*基础页!$B$16)/C109*5,2)),"")</f>
        <v/>
      </c>
    </row>
    <row r="110" ht="20.25" customHeight="1" spans="7:9">
      <c r="G110" s="5" t="str">
        <f t="shared" si="1"/>
        <v/>
      </c>
      <c r="I110" s="5" t="str">
        <f>IFERROR(IF(H110="ND","ND",baoliuxiaoshuwei(((H110-基础页!$B$23)*基础页!$B$16)/C110*5,2)),"")</f>
        <v/>
      </c>
    </row>
    <row r="111" ht="20.25" customHeight="1" spans="7:9">
      <c r="G111" s="5" t="str">
        <f t="shared" si="1"/>
        <v/>
      </c>
      <c r="I111" s="5" t="str">
        <f>IFERROR(IF(H111="ND","ND",baoliuxiaoshuwei(((H111-基础页!$B$23)*基础页!$B$16)/C111*5,2)),"")</f>
        <v/>
      </c>
    </row>
    <row r="112" ht="20.25" customHeight="1" spans="7:9">
      <c r="G112" s="5" t="str">
        <f t="shared" si="1"/>
        <v/>
      </c>
      <c r="I112" s="5" t="str">
        <f>IFERROR(IF(H112="ND","ND",baoliuxiaoshuwei(((H112-基础页!$B$23)*基础页!$B$16)/C112*5,2)),"")</f>
        <v/>
      </c>
    </row>
    <row r="113" ht="20.25" customHeight="1" spans="7:9">
      <c r="G113" s="5" t="str">
        <f t="shared" si="1"/>
        <v/>
      </c>
      <c r="I113" s="5" t="str">
        <f>IFERROR(IF(H113="ND","ND",baoliuxiaoshuwei(((H113-基础页!$B$23)*基础页!$B$16)/C113*5,2)),"")</f>
        <v/>
      </c>
    </row>
    <row r="114" ht="20.25" customHeight="1" spans="7:9">
      <c r="G114" s="5" t="str">
        <f t="shared" si="1"/>
        <v/>
      </c>
      <c r="I114" s="5" t="str">
        <f>IFERROR(IF(H114="ND","ND",baoliuxiaoshuwei(((H114-基础页!$B$23)*基础页!$B$16)/C114*5,2)),"")</f>
        <v/>
      </c>
    </row>
    <row r="115" ht="20.25" customHeight="1" spans="7:9">
      <c r="G115" s="5" t="str">
        <f t="shared" si="1"/>
        <v/>
      </c>
      <c r="I115" s="5" t="str">
        <f>IFERROR(IF(H115="ND","ND",baoliuxiaoshuwei(((H115-基础页!$B$23)*基础页!$B$16)/C115*5,2)),"")</f>
        <v/>
      </c>
    </row>
    <row r="116" ht="20.25" customHeight="1" spans="7:9">
      <c r="G116" s="5" t="str">
        <f t="shared" si="1"/>
        <v/>
      </c>
      <c r="I116" s="5" t="str">
        <f>IFERROR(IF(H116="ND","ND",baoliuxiaoshuwei(((H116-基础页!$B$23)*基础页!$B$16)/C116*5,2)),"")</f>
        <v/>
      </c>
    </row>
    <row r="117" ht="20.25" customHeight="1" spans="7:9">
      <c r="G117" s="5" t="str">
        <f t="shared" si="1"/>
        <v/>
      </c>
      <c r="I117" s="5" t="str">
        <f>IFERROR(IF(H117="ND","ND",baoliuxiaoshuwei(((H117-基础页!$B$23)*基础页!$B$16)/C117*5,2)),"")</f>
        <v/>
      </c>
    </row>
    <row r="118" ht="20.25" customHeight="1" spans="7:9">
      <c r="G118" s="5" t="str">
        <f t="shared" si="1"/>
        <v/>
      </c>
      <c r="I118" s="5" t="str">
        <f>IFERROR(IF(H118="ND","ND",baoliuxiaoshuwei(((H118-基础页!$B$23)*基础页!$B$16)/C118*5,2)),"")</f>
        <v/>
      </c>
    </row>
    <row r="119" ht="20.25" customHeight="1" spans="7:9">
      <c r="G119" s="5" t="str">
        <f t="shared" si="1"/>
        <v/>
      </c>
      <c r="I119" s="5" t="str">
        <f>IFERROR(IF(H119="ND","ND",baoliuxiaoshuwei(((H119-基础页!$B$23)*基础页!$B$16)/C119*5,2)),"")</f>
        <v/>
      </c>
    </row>
    <row r="120" ht="20.25" customHeight="1" spans="7:9">
      <c r="G120" s="5" t="str">
        <f t="shared" si="1"/>
        <v/>
      </c>
      <c r="I120" s="5" t="str">
        <f>IFERROR(IF(H120="ND","ND",baoliuxiaoshuwei(((H120-基础页!$B$23)*基础页!$B$16)/C120*5,2)),"")</f>
        <v/>
      </c>
    </row>
    <row r="121" ht="20.25" customHeight="1" spans="7:9">
      <c r="G121" s="5" t="str">
        <f t="shared" si="1"/>
        <v/>
      </c>
      <c r="I121" s="5" t="str">
        <f>IFERROR(IF(H121="ND","ND",baoliuxiaoshuwei(((H121-基础页!$B$23)*基础页!$B$16)/C121*5,2)),"")</f>
        <v/>
      </c>
    </row>
    <row r="122" ht="20.25" customHeight="1" spans="7:9">
      <c r="G122" s="5" t="str">
        <f t="shared" si="1"/>
        <v/>
      </c>
      <c r="I122" s="5" t="str">
        <f>IFERROR(IF(H122="ND","ND",baoliuxiaoshuwei(((H122-基础页!$B$23)*基础页!$B$16)/C122*5,2)),"")</f>
        <v/>
      </c>
    </row>
    <row r="123" ht="20.25" customHeight="1" spans="7:9">
      <c r="G123" s="5" t="str">
        <f t="shared" si="1"/>
        <v/>
      </c>
      <c r="I123" s="5" t="str">
        <f>IFERROR(IF(H123="ND","ND",baoliuxiaoshuwei(((H123-基础页!$B$23)*基础页!$B$16)/C123*5,2)),"")</f>
        <v/>
      </c>
    </row>
    <row r="124" ht="20.25" customHeight="1" spans="7:9">
      <c r="G124" s="5" t="str">
        <f t="shared" si="1"/>
        <v/>
      </c>
      <c r="I124" s="5" t="str">
        <f>IFERROR(IF(H124="ND","ND",baoliuxiaoshuwei(((H124-基础页!$B$23)*基础页!$B$16)/C124*5,2)),"")</f>
        <v/>
      </c>
    </row>
    <row r="125" ht="20.25" customHeight="1" spans="7:9">
      <c r="G125" s="5" t="str">
        <f t="shared" si="1"/>
        <v/>
      </c>
      <c r="I125" s="5" t="str">
        <f>IFERROR(IF(H125="ND","ND",baoliuxiaoshuwei(((H125-基础页!$B$23)*基础页!$B$16)/C125*5,2)),"")</f>
        <v/>
      </c>
    </row>
    <row r="126" ht="20.25" customHeight="1" spans="7:9">
      <c r="G126" s="5" t="str">
        <f t="shared" si="1"/>
        <v/>
      </c>
      <c r="I126" s="5" t="str">
        <f>IFERROR(IF(H126="ND","ND",baoliuxiaoshuwei(((H126-基础页!$B$23)*基础页!$B$16)/C126*5,2)),"")</f>
        <v/>
      </c>
    </row>
    <row r="127" ht="20.25" customHeight="1" spans="7:9">
      <c r="G127" s="5" t="str">
        <f t="shared" si="1"/>
        <v/>
      </c>
      <c r="I127" s="5" t="str">
        <f>IFERROR(IF(H127="ND","ND",baoliuxiaoshuwei(((H127-基础页!$B$23)*基础页!$B$16)/C127*5,2)),"")</f>
        <v/>
      </c>
    </row>
    <row r="128" ht="20.25" customHeight="1" spans="7:9">
      <c r="G128" s="5" t="str">
        <f t="shared" si="1"/>
        <v/>
      </c>
      <c r="I128" s="5" t="str">
        <f>IFERROR(IF(H128="ND","ND",baoliuxiaoshuwei(((H128-基础页!$B$23)*基础页!$B$16)/C128*5,2)),"")</f>
        <v/>
      </c>
    </row>
    <row r="129" ht="20.25" customHeight="1" spans="7:9">
      <c r="G129" s="5" t="str">
        <f t="shared" si="1"/>
        <v/>
      </c>
      <c r="I129" s="5" t="str">
        <f>IFERROR(IF(H129="ND","ND",baoliuxiaoshuwei(((H129-基础页!$B$23)*基础页!$B$16)/C129*5,2)),"")</f>
        <v/>
      </c>
    </row>
    <row r="130" ht="20.25" customHeight="1" spans="7:9">
      <c r="G130" s="5" t="str">
        <f t="shared" si="1"/>
        <v/>
      </c>
      <c r="I130" s="5" t="str">
        <f>IFERROR(IF(H130="ND","ND",baoliuxiaoshuwei(((H130-基础页!$B$23)*基础页!$B$16)/C130*5,2)),"")</f>
        <v/>
      </c>
    </row>
    <row r="131" ht="20.25" customHeight="1" spans="7:9">
      <c r="G131" s="5" t="str">
        <f t="shared" si="1"/>
        <v/>
      </c>
      <c r="I131" s="5" t="str">
        <f>IFERROR(IF(H131="ND","ND",baoliuxiaoshuwei(((H131-基础页!$B$23)*基础页!$B$16)/C131*5,2)),"")</f>
        <v/>
      </c>
    </row>
    <row r="132" ht="20.25" customHeight="1" spans="7:9">
      <c r="G132" s="5" t="str">
        <f t="shared" si="1"/>
        <v/>
      </c>
      <c r="I132" s="5" t="str">
        <f>IFERROR(IF(H132="ND","ND",baoliuxiaoshuwei(((H132-基础页!$B$23)*基础页!$B$16)/C132*5,2)),"")</f>
        <v/>
      </c>
    </row>
    <row r="133" ht="20.25" customHeight="1" spans="7:9">
      <c r="G133" s="5" t="str">
        <f t="shared" si="1"/>
        <v/>
      </c>
      <c r="I133" s="5" t="str">
        <f>IFERROR(IF(H133="ND","ND",baoliuxiaoshuwei(((H133-基础页!$B$23)*基础页!$B$16)/C133*5,2)),"")</f>
        <v/>
      </c>
    </row>
    <row r="134" ht="20.25" customHeight="1" spans="7:9">
      <c r="G134" s="5" t="str">
        <f t="shared" ref="G134:G197" si="2">IFERROR(IF(ISBLANK(H134),"",IF(I134="ND","否","是")),"")</f>
        <v/>
      </c>
      <c r="I134" s="5" t="str">
        <f>IFERROR(IF(H134="ND","ND",baoliuxiaoshuwei(((H134-基础页!$B$23)*基础页!$B$16)/C134*5,2)),"")</f>
        <v/>
      </c>
    </row>
    <row r="135" ht="20.25" customHeight="1" spans="7:9">
      <c r="G135" s="5" t="str">
        <f t="shared" si="2"/>
        <v/>
      </c>
      <c r="I135" s="5" t="str">
        <f>IFERROR(IF(H135="ND","ND",baoliuxiaoshuwei(((H135-基础页!$B$23)*基础页!$B$16)/C135*5,2)),"")</f>
        <v/>
      </c>
    </row>
    <row r="136" ht="20.25" customHeight="1" spans="7:9">
      <c r="G136" s="5" t="str">
        <f t="shared" si="2"/>
        <v/>
      </c>
      <c r="I136" s="5" t="str">
        <f>IFERROR(IF(H136="ND","ND",baoliuxiaoshuwei(((H136-基础页!$B$23)*基础页!$B$16)/C136*5,2)),"")</f>
        <v/>
      </c>
    </row>
    <row r="137" ht="20.25" customHeight="1" spans="7:9">
      <c r="G137" s="5" t="str">
        <f t="shared" si="2"/>
        <v/>
      </c>
      <c r="I137" s="5" t="str">
        <f>IFERROR(IF(H137="ND","ND",baoliuxiaoshuwei(((H137-基础页!$B$23)*基础页!$B$16)/C137*5,2)),"")</f>
        <v/>
      </c>
    </row>
    <row r="138" ht="20.25" customHeight="1" spans="7:9">
      <c r="G138" s="5" t="str">
        <f t="shared" si="2"/>
        <v/>
      </c>
      <c r="I138" s="5" t="str">
        <f>IFERROR(IF(H138="ND","ND",baoliuxiaoshuwei(((H138-基础页!$B$23)*基础页!$B$16)/C138*5,2)),"")</f>
        <v/>
      </c>
    </row>
    <row r="139" ht="20.25" customHeight="1" spans="7:9">
      <c r="G139" s="5" t="str">
        <f t="shared" si="2"/>
        <v/>
      </c>
      <c r="I139" s="5" t="str">
        <f>IFERROR(IF(H139="ND","ND",baoliuxiaoshuwei(((H139-基础页!$B$23)*基础页!$B$16)/C139*5,2)),"")</f>
        <v/>
      </c>
    </row>
    <row r="140" ht="20.25" customHeight="1" spans="7:9">
      <c r="G140" s="5" t="str">
        <f t="shared" si="2"/>
        <v/>
      </c>
      <c r="I140" s="5" t="str">
        <f>IFERROR(IF(H140="ND","ND",baoliuxiaoshuwei(((H140-基础页!$B$23)*基础页!$B$16)/C140*5,2)),"")</f>
        <v/>
      </c>
    </row>
    <row r="141" ht="20.25" customHeight="1" spans="7:9">
      <c r="G141" s="5" t="str">
        <f t="shared" si="2"/>
        <v/>
      </c>
      <c r="I141" s="5" t="str">
        <f>IFERROR(IF(H141="ND","ND",baoliuxiaoshuwei(((H141-基础页!$B$23)*基础页!$B$16)/C141*5,2)),"")</f>
        <v/>
      </c>
    </row>
    <row r="142" ht="20.25" customHeight="1" spans="7:9">
      <c r="G142" s="5" t="str">
        <f t="shared" si="2"/>
        <v/>
      </c>
      <c r="I142" s="5" t="str">
        <f>IFERROR(IF(H142="ND","ND",baoliuxiaoshuwei(((H142-基础页!$B$23)*基础页!$B$16)/C142*5,2)),"")</f>
        <v/>
      </c>
    </row>
    <row r="143" ht="20.25" customHeight="1" spans="7:9">
      <c r="G143" s="5" t="str">
        <f t="shared" si="2"/>
        <v/>
      </c>
      <c r="I143" s="5" t="str">
        <f>IFERROR(IF(H143="ND","ND",baoliuxiaoshuwei(((H143-基础页!$B$23)*基础页!$B$16)/C143*5,2)),"")</f>
        <v/>
      </c>
    </row>
    <row r="144" ht="20.25" customHeight="1" spans="7:9">
      <c r="G144" s="5" t="str">
        <f t="shared" si="2"/>
        <v/>
      </c>
      <c r="I144" s="5" t="str">
        <f>IFERROR(IF(H144="ND","ND",baoliuxiaoshuwei(((H144-基础页!$B$23)*基础页!$B$16)/C144*5,2)),"")</f>
        <v/>
      </c>
    </row>
    <row r="145" ht="20.25" customHeight="1" spans="7:9">
      <c r="G145" s="5" t="str">
        <f t="shared" si="2"/>
        <v/>
      </c>
      <c r="I145" s="5" t="str">
        <f>IFERROR(IF(H145="ND","ND",baoliuxiaoshuwei(((H145-基础页!$B$23)*基础页!$B$16)/C145*5,2)),"")</f>
        <v/>
      </c>
    </row>
    <row r="146" ht="20.25" customHeight="1" spans="7:9">
      <c r="G146" s="5" t="str">
        <f t="shared" si="2"/>
        <v/>
      </c>
      <c r="I146" s="5" t="str">
        <f>IFERROR(IF(H146="ND","ND",baoliuxiaoshuwei(((H146-基础页!$B$23)*基础页!$B$16)/C146*5,2)),"")</f>
        <v/>
      </c>
    </row>
    <row r="147" ht="20.25" customHeight="1" spans="7:9">
      <c r="G147" s="5" t="str">
        <f t="shared" si="2"/>
        <v/>
      </c>
      <c r="I147" s="5" t="str">
        <f>IFERROR(IF(H147="ND","ND",baoliuxiaoshuwei(((H147-基础页!$B$23)*基础页!$B$16)/C147*5,2)),"")</f>
        <v/>
      </c>
    </row>
    <row r="148" ht="20.25" customHeight="1" spans="7:9">
      <c r="G148" s="5" t="str">
        <f t="shared" si="2"/>
        <v/>
      </c>
      <c r="I148" s="5" t="str">
        <f>IFERROR(IF(H148="ND","ND",baoliuxiaoshuwei(((H148-基础页!$B$23)*基础页!$B$16)/C148*5,2)),"")</f>
        <v/>
      </c>
    </row>
    <row r="149" ht="20.25" customHeight="1" spans="7:9">
      <c r="G149" s="5" t="str">
        <f t="shared" si="2"/>
        <v/>
      </c>
      <c r="I149" s="5" t="str">
        <f>IFERROR(IF(H149="ND","ND",baoliuxiaoshuwei(((H149-基础页!$B$23)*基础页!$B$16)/C149*5,2)),"")</f>
        <v/>
      </c>
    </row>
    <row r="150" ht="20.25" customHeight="1" spans="7:9">
      <c r="G150" s="5" t="str">
        <f t="shared" si="2"/>
        <v/>
      </c>
      <c r="I150" s="5" t="str">
        <f>IFERROR(IF(H150="ND","ND",baoliuxiaoshuwei(((H150-基础页!$B$23)*基础页!$B$16)/C150*5,2)),"")</f>
        <v/>
      </c>
    </row>
    <row r="151" ht="20.25" customHeight="1" spans="7:9">
      <c r="G151" s="5" t="str">
        <f t="shared" si="2"/>
        <v/>
      </c>
      <c r="I151" s="5" t="str">
        <f>IFERROR(IF(H151="ND","ND",baoliuxiaoshuwei(((H151-基础页!$B$23)*基础页!$B$16)/C151*5,2)),"")</f>
        <v/>
      </c>
    </row>
    <row r="152" ht="20.25" customHeight="1" spans="7:9">
      <c r="G152" s="5" t="str">
        <f t="shared" si="2"/>
        <v/>
      </c>
      <c r="I152" s="5" t="str">
        <f>IFERROR(IF(H152="ND","ND",baoliuxiaoshuwei(((H152-基础页!$B$23)*基础页!$B$16)/C152*5,2)),"")</f>
        <v/>
      </c>
    </row>
    <row r="153" ht="20.25" customHeight="1" spans="7:9">
      <c r="G153" s="5" t="str">
        <f t="shared" si="2"/>
        <v/>
      </c>
      <c r="I153" s="5" t="str">
        <f>IFERROR(IF(H153="ND","ND",baoliuxiaoshuwei(((H153-基础页!$B$23)*基础页!$B$16)/C153*5,2)),"")</f>
        <v/>
      </c>
    </row>
    <row r="154" ht="20.25" customHeight="1" spans="7:9">
      <c r="G154" s="5" t="str">
        <f t="shared" si="2"/>
        <v/>
      </c>
      <c r="I154" s="5" t="str">
        <f>IFERROR(IF(H154="ND","ND",baoliuxiaoshuwei(((H154-基础页!$B$23)*基础页!$B$16)/C154*5,2)),"")</f>
        <v/>
      </c>
    </row>
    <row r="155" ht="20.25" customHeight="1" spans="7:9">
      <c r="G155" s="5" t="str">
        <f t="shared" si="2"/>
        <v/>
      </c>
      <c r="I155" s="5" t="str">
        <f>IFERROR(IF(H155="ND","ND",baoliuxiaoshuwei(((H155-基础页!$B$23)*基础页!$B$16)/C155*5,2)),"")</f>
        <v/>
      </c>
    </row>
    <row r="156" ht="20.25" customHeight="1" spans="7:9">
      <c r="G156" s="5" t="str">
        <f t="shared" si="2"/>
        <v/>
      </c>
      <c r="I156" s="5" t="str">
        <f>IFERROR(IF(H156="ND","ND",baoliuxiaoshuwei(((H156-基础页!$B$23)*基础页!$B$16)/C156*5,2)),"")</f>
        <v/>
      </c>
    </row>
    <row r="157" ht="20.25" customHeight="1" spans="7:9">
      <c r="G157" s="5" t="str">
        <f t="shared" si="2"/>
        <v/>
      </c>
      <c r="I157" s="5" t="str">
        <f>IFERROR(IF(H157="ND","ND",baoliuxiaoshuwei(((H157-基础页!$B$23)*基础页!$B$16)/C157*5,2)),"")</f>
        <v/>
      </c>
    </row>
    <row r="158" ht="20.25" customHeight="1" spans="7:9">
      <c r="G158" s="5" t="str">
        <f t="shared" si="2"/>
        <v/>
      </c>
      <c r="I158" s="5" t="str">
        <f>IFERROR(IF(H158="ND","ND",baoliuxiaoshuwei(((H158-基础页!$B$23)*基础页!$B$16)/C158*5,2)),"")</f>
        <v/>
      </c>
    </row>
    <row r="159" ht="20.25" customHeight="1" spans="7:9">
      <c r="G159" s="5" t="str">
        <f t="shared" si="2"/>
        <v/>
      </c>
      <c r="I159" s="5" t="str">
        <f>IFERROR(IF(H159="ND","ND",baoliuxiaoshuwei(((H159-基础页!$B$23)*基础页!$B$16)/C159*5,2)),"")</f>
        <v/>
      </c>
    </row>
    <row r="160" ht="20.25" customHeight="1" spans="7:9">
      <c r="G160" s="5" t="str">
        <f t="shared" si="2"/>
        <v/>
      </c>
      <c r="I160" s="5" t="str">
        <f>IFERROR(IF(H160="ND","ND",baoliuxiaoshuwei(((H160-基础页!$B$23)*基础页!$B$16)/C160*5,2)),"")</f>
        <v/>
      </c>
    </row>
    <row r="161" ht="20.25" customHeight="1" spans="7:9">
      <c r="G161" s="5" t="str">
        <f t="shared" si="2"/>
        <v/>
      </c>
      <c r="I161" s="5" t="str">
        <f>IFERROR(IF(H161="ND","ND",baoliuxiaoshuwei(((H161-基础页!$B$23)*基础页!$B$16)/C161*5,2)),"")</f>
        <v/>
      </c>
    </row>
    <row r="162" ht="20.25" customHeight="1" spans="7:9">
      <c r="G162" s="5" t="str">
        <f t="shared" si="2"/>
        <v/>
      </c>
      <c r="I162" s="5" t="str">
        <f>IFERROR(IF(H162="ND","ND",baoliuxiaoshuwei(((H162-基础页!$B$23)*基础页!$B$16)/C162*5,2)),"")</f>
        <v/>
      </c>
    </row>
    <row r="163" ht="20.25" customHeight="1" spans="7:9">
      <c r="G163" s="5" t="str">
        <f t="shared" si="2"/>
        <v/>
      </c>
      <c r="I163" s="5" t="str">
        <f>IFERROR(IF(H163="ND","ND",baoliuxiaoshuwei(((H163-基础页!$B$23)*基础页!$B$16)/C163*5,2)),"")</f>
        <v/>
      </c>
    </row>
    <row r="164" ht="20.25" customHeight="1" spans="7:9">
      <c r="G164" s="5" t="str">
        <f t="shared" si="2"/>
        <v/>
      </c>
      <c r="I164" s="5" t="str">
        <f>IFERROR(IF(H164="ND","ND",baoliuxiaoshuwei(((H164-基础页!$B$23)*基础页!$B$16)/C164*5,2)),"")</f>
        <v/>
      </c>
    </row>
    <row r="165" ht="20.25" customHeight="1" spans="7:9">
      <c r="G165" s="5" t="str">
        <f t="shared" si="2"/>
        <v/>
      </c>
      <c r="I165" s="5" t="str">
        <f>IFERROR(IF(H165="ND","ND",baoliuxiaoshuwei(((H165-基础页!$B$23)*基础页!$B$16)/C165*5,2)),"")</f>
        <v/>
      </c>
    </row>
    <row r="166" ht="20.25" customHeight="1" spans="7:9">
      <c r="G166" s="5" t="str">
        <f t="shared" si="2"/>
        <v/>
      </c>
      <c r="I166" s="5" t="str">
        <f>IFERROR(IF(H166="ND","ND",baoliuxiaoshuwei(((H166-基础页!$B$23)*基础页!$B$16)/C166*5,2)),"")</f>
        <v/>
      </c>
    </row>
    <row r="167" ht="20.25" customHeight="1" spans="7:9">
      <c r="G167" s="5" t="str">
        <f t="shared" si="2"/>
        <v/>
      </c>
      <c r="I167" s="5" t="str">
        <f>IFERROR(IF(H167="ND","ND",baoliuxiaoshuwei(((H167-基础页!$B$23)*基础页!$B$16)/C167*5,2)),"")</f>
        <v/>
      </c>
    </row>
    <row r="168" ht="20.25" customHeight="1" spans="7:9">
      <c r="G168" s="5" t="str">
        <f t="shared" si="2"/>
        <v/>
      </c>
      <c r="I168" s="5" t="str">
        <f>IFERROR(IF(H168="ND","ND",baoliuxiaoshuwei(((H168-基础页!$B$23)*基础页!$B$16)/C168*5,2)),"")</f>
        <v/>
      </c>
    </row>
    <row r="169" ht="20.25" customHeight="1" spans="7:9">
      <c r="G169" s="5" t="str">
        <f t="shared" si="2"/>
        <v/>
      </c>
      <c r="I169" s="5" t="str">
        <f>IFERROR(IF(H169="ND","ND",baoliuxiaoshuwei(((H169-基础页!$B$23)*基础页!$B$16)/C169*5,2)),"")</f>
        <v/>
      </c>
    </row>
    <row r="170" ht="20.25" customHeight="1" spans="7:9">
      <c r="G170" s="5" t="str">
        <f t="shared" si="2"/>
        <v/>
      </c>
      <c r="I170" s="5" t="str">
        <f>IFERROR(IF(H170="ND","ND",baoliuxiaoshuwei(((H170-基础页!$B$23)*基础页!$B$16)/C170*5,2)),"")</f>
        <v/>
      </c>
    </row>
    <row r="171" ht="20.25" customHeight="1" spans="7:9">
      <c r="G171" s="5" t="str">
        <f t="shared" si="2"/>
        <v/>
      </c>
      <c r="I171" s="5" t="str">
        <f>IFERROR(IF(H171="ND","ND",baoliuxiaoshuwei(((H171-基础页!$B$23)*基础页!$B$16)/C171*5,2)),"")</f>
        <v/>
      </c>
    </row>
    <row r="172" ht="20.25" customHeight="1" spans="7:9">
      <c r="G172" s="5" t="str">
        <f t="shared" si="2"/>
        <v/>
      </c>
      <c r="I172" s="5" t="str">
        <f>IFERROR(IF(H172="ND","ND",baoliuxiaoshuwei(((H172-基础页!$B$23)*基础页!$B$16)/C172*5,2)),"")</f>
        <v/>
      </c>
    </row>
    <row r="173" ht="20.25" customHeight="1" spans="7:9">
      <c r="G173" s="5" t="str">
        <f t="shared" si="2"/>
        <v/>
      </c>
      <c r="I173" s="5" t="str">
        <f>IFERROR(IF(H173="ND","ND",baoliuxiaoshuwei(((H173-基础页!$B$23)*基础页!$B$16)/C173*5,2)),"")</f>
        <v/>
      </c>
    </row>
    <row r="174" ht="20.25" customHeight="1" spans="7:9">
      <c r="G174" s="5" t="str">
        <f t="shared" si="2"/>
        <v/>
      </c>
      <c r="I174" s="5" t="str">
        <f>IFERROR(IF(H174="ND","ND",baoliuxiaoshuwei(((H174-基础页!$B$23)*基础页!$B$16)/C174*5,2)),"")</f>
        <v/>
      </c>
    </row>
    <row r="175" ht="20.25" customHeight="1" spans="7:9">
      <c r="G175" s="5" t="str">
        <f t="shared" si="2"/>
        <v/>
      </c>
      <c r="I175" s="5" t="str">
        <f>IFERROR(IF(H175="ND","ND",baoliuxiaoshuwei(((H175-基础页!$B$23)*基础页!$B$16)/C175*5,2)),"")</f>
        <v/>
      </c>
    </row>
    <row r="176" ht="20.25" customHeight="1" spans="7:9">
      <c r="G176" s="5" t="str">
        <f t="shared" si="2"/>
        <v/>
      </c>
      <c r="I176" s="5" t="str">
        <f>IFERROR(IF(H176="ND","ND",baoliuxiaoshuwei(((H176-基础页!$B$23)*基础页!$B$16)/C176*5,2)),"")</f>
        <v/>
      </c>
    </row>
    <row r="177" ht="20.25" customHeight="1" spans="7:9">
      <c r="G177" s="5" t="str">
        <f t="shared" si="2"/>
        <v/>
      </c>
      <c r="I177" s="5" t="str">
        <f>IFERROR(IF(H177="ND","ND",baoliuxiaoshuwei(((H177-基础页!$B$23)*基础页!$B$16)/C177*5,2)),"")</f>
        <v/>
      </c>
    </row>
    <row r="178" ht="20.25" customHeight="1" spans="7:9">
      <c r="G178" s="5" t="str">
        <f t="shared" si="2"/>
        <v/>
      </c>
      <c r="I178" s="5" t="str">
        <f>IFERROR(IF(H178="ND","ND",baoliuxiaoshuwei(((H178-基础页!$B$23)*基础页!$B$16)/C178*5,2)),"")</f>
        <v/>
      </c>
    </row>
    <row r="179" ht="20.25" customHeight="1" spans="7:9">
      <c r="G179" s="5" t="str">
        <f t="shared" si="2"/>
        <v/>
      </c>
      <c r="I179" s="5" t="str">
        <f>IFERROR(IF(H179="ND","ND",baoliuxiaoshuwei(((H179-基础页!$B$23)*基础页!$B$16)/C179*5,2)),"")</f>
        <v/>
      </c>
    </row>
    <row r="180" ht="20.25" customHeight="1" spans="7:9">
      <c r="G180" s="5" t="str">
        <f t="shared" si="2"/>
        <v/>
      </c>
      <c r="I180" s="5" t="str">
        <f>IFERROR(IF(H180="ND","ND",baoliuxiaoshuwei(((H180-基础页!$B$23)*基础页!$B$16)/C180*5,2)),"")</f>
        <v/>
      </c>
    </row>
    <row r="181" ht="20.25" customHeight="1" spans="7:9">
      <c r="G181" s="5" t="str">
        <f t="shared" si="2"/>
        <v/>
      </c>
      <c r="I181" s="5" t="str">
        <f>IFERROR(IF(H181="ND","ND",baoliuxiaoshuwei(((H181-基础页!$B$23)*基础页!$B$16)/C181*5,2)),"")</f>
        <v/>
      </c>
    </row>
    <row r="182" ht="20.25" customHeight="1" spans="7:9">
      <c r="G182" s="5" t="str">
        <f t="shared" si="2"/>
        <v/>
      </c>
      <c r="I182" s="5" t="str">
        <f>IFERROR(IF(H182="ND","ND",baoliuxiaoshuwei(((H182-基础页!$B$23)*基础页!$B$16)/C182*5,2)),"")</f>
        <v/>
      </c>
    </row>
    <row r="183" ht="20.25" customHeight="1" spans="7:9">
      <c r="G183" s="5" t="str">
        <f t="shared" si="2"/>
        <v/>
      </c>
      <c r="I183" s="5" t="str">
        <f>IFERROR(IF(H183="ND","ND",baoliuxiaoshuwei(((H183-基础页!$B$23)*基础页!$B$16)/C183*5,2)),"")</f>
        <v/>
      </c>
    </row>
    <row r="184" ht="20.25" customHeight="1" spans="7:9">
      <c r="G184" s="5" t="str">
        <f t="shared" si="2"/>
        <v/>
      </c>
      <c r="I184" s="5" t="str">
        <f>IFERROR(IF(H184="ND","ND",baoliuxiaoshuwei(((H184-基础页!$B$23)*基础页!$B$16)/C184*5,2)),"")</f>
        <v/>
      </c>
    </row>
    <row r="185" ht="20.25" customHeight="1" spans="7:9">
      <c r="G185" s="5" t="str">
        <f t="shared" si="2"/>
        <v/>
      </c>
      <c r="I185" s="5" t="str">
        <f>IFERROR(IF(H185="ND","ND",baoliuxiaoshuwei(((H185-基础页!$B$23)*基础页!$B$16)/C185*5,2)),"")</f>
        <v/>
      </c>
    </row>
    <row r="186" ht="20.25" customHeight="1" spans="7:9">
      <c r="G186" s="5" t="str">
        <f t="shared" si="2"/>
        <v/>
      </c>
      <c r="I186" s="5" t="str">
        <f>IFERROR(IF(H186="ND","ND",baoliuxiaoshuwei(((H186-基础页!$B$23)*基础页!$B$16)/C186*5,2)),"")</f>
        <v/>
      </c>
    </row>
    <row r="187" ht="20.25" customHeight="1" spans="7:9">
      <c r="G187" s="5" t="str">
        <f t="shared" si="2"/>
        <v/>
      </c>
      <c r="I187" s="5" t="str">
        <f>IFERROR(IF(H187="ND","ND",baoliuxiaoshuwei(((H187-基础页!$B$23)*基础页!$B$16)/C187*5,2)),"")</f>
        <v/>
      </c>
    </row>
    <row r="188" ht="20.25" customHeight="1" spans="7:9">
      <c r="G188" s="5" t="str">
        <f t="shared" si="2"/>
        <v/>
      </c>
      <c r="I188" s="5" t="str">
        <f>IFERROR(IF(H188="ND","ND",baoliuxiaoshuwei(((H188-基础页!$B$23)*基础页!$B$16)/C188*5,2)),"")</f>
        <v/>
      </c>
    </row>
    <row r="189" ht="20.25" customHeight="1" spans="7:9">
      <c r="G189" s="5" t="str">
        <f t="shared" si="2"/>
        <v/>
      </c>
      <c r="I189" s="5" t="str">
        <f>IFERROR(IF(H189="ND","ND",baoliuxiaoshuwei(((H189-基础页!$B$23)*基础页!$B$16)/C189*5,2)),"")</f>
        <v/>
      </c>
    </row>
    <row r="190" ht="20.25" customHeight="1" spans="7:9">
      <c r="G190" s="5" t="str">
        <f t="shared" si="2"/>
        <v/>
      </c>
      <c r="I190" s="5" t="str">
        <f>IFERROR(IF(H190="ND","ND",baoliuxiaoshuwei(((H190-基础页!$B$23)*基础页!$B$16)/C190*5,2)),"")</f>
        <v/>
      </c>
    </row>
    <row r="191" ht="20.25" customHeight="1" spans="7:9">
      <c r="G191" s="5" t="str">
        <f t="shared" si="2"/>
        <v/>
      </c>
      <c r="I191" s="5" t="str">
        <f>IFERROR(IF(H191="ND","ND",baoliuxiaoshuwei(((H191-基础页!$B$23)*基础页!$B$16)/C191*5,2)),"")</f>
        <v/>
      </c>
    </row>
    <row r="192" ht="20.25" customHeight="1" spans="7:9">
      <c r="G192" s="5" t="str">
        <f t="shared" si="2"/>
        <v/>
      </c>
      <c r="I192" s="5" t="str">
        <f>IFERROR(IF(H192="ND","ND",baoliuxiaoshuwei(((H192-基础页!$B$23)*基础页!$B$16)/C192*5,2)),"")</f>
        <v/>
      </c>
    </row>
    <row r="193" ht="20.25" customHeight="1" spans="7:9">
      <c r="G193" s="5" t="str">
        <f t="shared" si="2"/>
        <v/>
      </c>
      <c r="I193" s="5" t="str">
        <f>IFERROR(IF(H193="ND","ND",baoliuxiaoshuwei(((H193-基础页!$B$23)*基础页!$B$16)/C193*5,2)),"")</f>
        <v/>
      </c>
    </row>
    <row r="194" ht="20.25" customHeight="1" spans="7:9">
      <c r="G194" s="5" t="str">
        <f t="shared" si="2"/>
        <v/>
      </c>
      <c r="I194" s="5" t="str">
        <f>IFERROR(IF(H194="ND","ND",baoliuxiaoshuwei(((H194-基础页!$B$23)*基础页!$B$16)/C194*5,2)),"")</f>
        <v/>
      </c>
    </row>
    <row r="195" ht="20.25" customHeight="1" spans="7:9">
      <c r="G195" s="5" t="str">
        <f t="shared" si="2"/>
        <v/>
      </c>
      <c r="I195" s="5" t="str">
        <f>IFERROR(IF(H195="ND","ND",baoliuxiaoshuwei(((H195-基础页!$B$23)*基础页!$B$16)/C195*5,2)),"")</f>
        <v/>
      </c>
    </row>
    <row r="196" ht="20.25" customHeight="1" spans="7:9">
      <c r="G196" s="5" t="str">
        <f t="shared" si="2"/>
        <v/>
      </c>
      <c r="I196" s="5" t="str">
        <f>IFERROR(IF(H196="ND","ND",baoliuxiaoshuwei(((H196-基础页!$B$23)*基础页!$B$16)/C196*5,2)),"")</f>
        <v/>
      </c>
    </row>
    <row r="197" ht="20.25" customHeight="1" spans="7:9">
      <c r="G197" s="5" t="str">
        <f t="shared" si="2"/>
        <v/>
      </c>
      <c r="I197" s="5" t="str">
        <f>IFERROR(IF(H197="ND","ND",baoliuxiaoshuwei(((H197-基础页!$B$23)*基础页!$B$16)/C197*5,2)),"")</f>
        <v/>
      </c>
    </row>
    <row r="198" ht="20.25" customHeight="1" spans="7:9">
      <c r="G198" s="5" t="str">
        <f t="shared" ref="G198:G252" si="3">IFERROR(IF(ISBLANK(H198),"",IF(I198="ND","否","是")),"")</f>
        <v/>
      </c>
      <c r="I198" s="5" t="str">
        <f>IFERROR(IF(H198="ND","ND",baoliuxiaoshuwei(((H198-基础页!$B$23)*基础页!$B$16)/C198*5,2)),"")</f>
        <v/>
      </c>
    </row>
    <row r="199" ht="20.25" customHeight="1" spans="7:9">
      <c r="G199" s="5" t="str">
        <f t="shared" si="3"/>
        <v/>
      </c>
      <c r="I199" s="5" t="str">
        <f>IFERROR(IF(H199="ND","ND",baoliuxiaoshuwei(((H199-基础页!$B$23)*基础页!$B$16)/C199*5,2)),"")</f>
        <v/>
      </c>
    </row>
    <row r="200" ht="20.25" customHeight="1" spans="7:9">
      <c r="G200" s="5" t="str">
        <f t="shared" si="3"/>
        <v/>
      </c>
      <c r="I200" s="5" t="str">
        <f>IFERROR(IF(H200="ND","ND",baoliuxiaoshuwei(((H200-基础页!$B$23)*基础页!$B$16)/C200*5,2)),"")</f>
        <v/>
      </c>
    </row>
    <row r="201" ht="20.25" customHeight="1" spans="7:9">
      <c r="G201" s="5" t="str">
        <f t="shared" si="3"/>
        <v/>
      </c>
      <c r="I201" s="5" t="str">
        <f>IFERROR(IF(H201="ND","ND",baoliuxiaoshuwei(((H201-基础页!$B$23)*基础页!$B$16)/C201*5,2)),"")</f>
        <v/>
      </c>
    </row>
    <row r="202" ht="20.25" customHeight="1" spans="7:9">
      <c r="G202" s="5" t="str">
        <f t="shared" si="3"/>
        <v/>
      </c>
      <c r="I202" s="5" t="str">
        <f>IFERROR(IF(H202="ND","ND",baoliuxiaoshuwei(((H202-基础页!$B$23)*基础页!$B$16)/C202*5,2)),"")</f>
        <v/>
      </c>
    </row>
    <row r="203" ht="20.25" customHeight="1" spans="7:9">
      <c r="G203" s="5" t="str">
        <f t="shared" si="3"/>
        <v/>
      </c>
      <c r="I203" s="5" t="str">
        <f>IFERROR(IF(H203="ND","ND",baoliuxiaoshuwei(((H203-基础页!$B$23)*基础页!$B$16)/C203*5,2)),"")</f>
        <v/>
      </c>
    </row>
    <row r="204" ht="20.25" customHeight="1" spans="7:9">
      <c r="G204" s="5" t="str">
        <f t="shared" si="3"/>
        <v/>
      </c>
      <c r="I204" s="5" t="str">
        <f>IFERROR(IF(H204="ND","ND",baoliuxiaoshuwei(((H204-基础页!$B$23)*基础页!$B$16)/C204*5,2)),"")</f>
        <v/>
      </c>
    </row>
    <row r="205" ht="20.25" customHeight="1" spans="7:9">
      <c r="G205" s="5" t="str">
        <f t="shared" si="3"/>
        <v/>
      </c>
      <c r="I205" s="5" t="str">
        <f>IFERROR(IF(H205="ND","ND",baoliuxiaoshuwei(((H205-基础页!$B$23)*基础页!$B$16)/C205*5,2)),"")</f>
        <v/>
      </c>
    </row>
    <row r="206" ht="20.25" customHeight="1" spans="7:9">
      <c r="G206" s="5" t="str">
        <f t="shared" si="3"/>
        <v/>
      </c>
      <c r="I206" s="5" t="str">
        <f>IFERROR(IF(H206="ND","ND",baoliuxiaoshuwei(((H206-基础页!$B$23)*基础页!$B$16)/C206*5,2)),"")</f>
        <v/>
      </c>
    </row>
    <row r="207" ht="20.25" customHeight="1" spans="7:9">
      <c r="G207" s="5" t="str">
        <f t="shared" si="3"/>
        <v/>
      </c>
      <c r="I207" s="5" t="str">
        <f>IFERROR(IF(H207="ND","ND",baoliuxiaoshuwei(((H207-基础页!$B$23)*基础页!$B$16)/C207*5,2)),"")</f>
        <v/>
      </c>
    </row>
    <row r="208" ht="20.25" customHeight="1" spans="7:9">
      <c r="G208" s="5" t="str">
        <f t="shared" si="3"/>
        <v/>
      </c>
      <c r="I208" s="5" t="str">
        <f>IFERROR(IF(H208="ND","ND",baoliuxiaoshuwei(((H208-基础页!$B$23)*基础页!$B$16)/C208*5,2)),"")</f>
        <v/>
      </c>
    </row>
    <row r="209" ht="20.25" customHeight="1" spans="7:9">
      <c r="G209" s="5" t="str">
        <f t="shared" si="3"/>
        <v/>
      </c>
      <c r="I209" s="5" t="str">
        <f>IFERROR(IF(H209="ND","ND",baoliuxiaoshuwei(((H209-基础页!$B$23)*基础页!$B$16)/C209*5,2)),"")</f>
        <v/>
      </c>
    </row>
    <row r="210" ht="20.25" customHeight="1" spans="7:9">
      <c r="G210" s="5" t="str">
        <f t="shared" si="3"/>
        <v/>
      </c>
      <c r="I210" s="5" t="str">
        <f>IFERROR(IF(H210="ND","ND",baoliuxiaoshuwei(((H210-基础页!$B$23)*基础页!$B$16)/C210*5,2)),"")</f>
        <v/>
      </c>
    </row>
    <row r="211" ht="20.25" customHeight="1" spans="7:9">
      <c r="G211" s="5" t="str">
        <f t="shared" si="3"/>
        <v/>
      </c>
      <c r="I211" s="5" t="str">
        <f>IFERROR(IF(H211="ND","ND",baoliuxiaoshuwei(((H211-基础页!$B$23)*基础页!$B$16)/C211*5,2)),"")</f>
        <v/>
      </c>
    </row>
    <row r="212" ht="20.25" customHeight="1" spans="7:9">
      <c r="G212" s="5" t="str">
        <f t="shared" si="3"/>
        <v/>
      </c>
      <c r="I212" s="5" t="str">
        <f>IFERROR(IF(H212="ND","ND",baoliuxiaoshuwei(((H212-基础页!$B$23)*基础页!$B$16)/C212*5,2)),"")</f>
        <v/>
      </c>
    </row>
    <row r="213" ht="20.25" customHeight="1" spans="7:9">
      <c r="G213" s="5" t="str">
        <f t="shared" si="3"/>
        <v/>
      </c>
      <c r="I213" s="5" t="str">
        <f>IFERROR(IF(H213="ND","ND",baoliuxiaoshuwei(((H213-基础页!$B$23)*基础页!$B$16)/C213*5,2)),"")</f>
        <v/>
      </c>
    </row>
    <row r="214" ht="20.25" customHeight="1" spans="7:9">
      <c r="G214" s="5" t="str">
        <f t="shared" si="3"/>
        <v/>
      </c>
      <c r="I214" s="5" t="str">
        <f>IFERROR(IF(H214="ND","ND",baoliuxiaoshuwei(((H214-基础页!$B$23)*基础页!$B$16)/C214*5,2)),"")</f>
        <v/>
      </c>
    </row>
    <row r="215" ht="20.25" customHeight="1" spans="7:9">
      <c r="G215" s="5" t="str">
        <f t="shared" si="3"/>
        <v/>
      </c>
      <c r="I215" s="5" t="str">
        <f>IFERROR(IF(H215="ND","ND",baoliuxiaoshuwei(((H215-基础页!$B$23)*基础页!$B$16)/C215*5,2)),"")</f>
        <v/>
      </c>
    </row>
    <row r="216" ht="20.25" customHeight="1" spans="7:9">
      <c r="G216" s="5" t="str">
        <f t="shared" si="3"/>
        <v/>
      </c>
      <c r="I216" s="5" t="str">
        <f>IFERROR(IF(H216="ND","ND",baoliuxiaoshuwei(((H216-基础页!$B$23)*基础页!$B$16)/C216*5,2)),"")</f>
        <v/>
      </c>
    </row>
    <row r="217" ht="20.25" customHeight="1" spans="7:9">
      <c r="G217" s="5" t="str">
        <f t="shared" si="3"/>
        <v/>
      </c>
      <c r="I217" s="5" t="str">
        <f>IFERROR(IF(H217="ND","ND",baoliuxiaoshuwei(((H217-基础页!$B$23)*基础页!$B$16)/C217*5,2)),"")</f>
        <v/>
      </c>
    </row>
    <row r="218" ht="20.25" customHeight="1" spans="7:9">
      <c r="G218" s="5" t="str">
        <f t="shared" si="3"/>
        <v/>
      </c>
      <c r="I218" s="5" t="str">
        <f>IFERROR(IF(H218="ND","ND",baoliuxiaoshuwei(((H218-基础页!$B$23)*基础页!$B$16)/C218*5,2)),"")</f>
        <v/>
      </c>
    </row>
    <row r="219" ht="20.25" customHeight="1" spans="7:9">
      <c r="G219" s="5" t="str">
        <f t="shared" si="3"/>
        <v/>
      </c>
      <c r="I219" s="5" t="str">
        <f>IFERROR(IF(H219="ND","ND",baoliuxiaoshuwei(((H219-基础页!$B$23)*基础页!$B$16)/C219*5,2)),"")</f>
        <v/>
      </c>
    </row>
    <row r="220" ht="20.25" customHeight="1" spans="7:9">
      <c r="G220" s="5" t="str">
        <f t="shared" si="3"/>
        <v/>
      </c>
      <c r="I220" s="5" t="str">
        <f>IFERROR(IF(H220="ND","ND",baoliuxiaoshuwei(((H220-基础页!$B$23)*基础页!$B$16)/C220*5,2)),"")</f>
        <v/>
      </c>
    </row>
    <row r="221" ht="20.25" customHeight="1" spans="7:9">
      <c r="G221" s="5" t="str">
        <f t="shared" si="3"/>
        <v/>
      </c>
      <c r="I221" s="5" t="str">
        <f>IFERROR(IF(H221="ND","ND",baoliuxiaoshuwei(((H221-基础页!$B$23)*基础页!$B$16)/C221*5,2)),"")</f>
        <v/>
      </c>
    </row>
    <row r="222" ht="20.25" customHeight="1" spans="7:9">
      <c r="G222" s="5" t="str">
        <f t="shared" si="3"/>
        <v/>
      </c>
      <c r="I222" s="5" t="str">
        <f>IFERROR(IF(H222="ND","ND",baoliuxiaoshuwei(((H222-基础页!$B$23)*基础页!$B$16)/C222*5,2)),"")</f>
        <v/>
      </c>
    </row>
    <row r="223" ht="20.25" customHeight="1" spans="7:9">
      <c r="G223" s="5" t="str">
        <f t="shared" si="3"/>
        <v/>
      </c>
      <c r="I223" s="5" t="str">
        <f>IFERROR(IF(H223="ND","ND",baoliuxiaoshuwei(((H223-基础页!$B$23)*基础页!$B$16)/C223*5,2)),"")</f>
        <v/>
      </c>
    </row>
    <row r="224" ht="20.25" customHeight="1" spans="7:9">
      <c r="G224" s="5" t="str">
        <f t="shared" si="3"/>
        <v/>
      </c>
      <c r="I224" s="5" t="str">
        <f>IFERROR(IF(H224="ND","ND",baoliuxiaoshuwei(((H224-基础页!$B$23)*基础页!$B$16)/C224*5,2)),"")</f>
        <v/>
      </c>
    </row>
    <row r="225" ht="20.25" customHeight="1" spans="7:9">
      <c r="G225" s="5" t="str">
        <f t="shared" si="3"/>
        <v/>
      </c>
      <c r="I225" s="5" t="str">
        <f>IFERROR(IF(H225="ND","ND",baoliuxiaoshuwei(((H225-基础页!$B$23)*基础页!$B$16)/C225*5,2)),"")</f>
        <v/>
      </c>
    </row>
    <row r="226" ht="20.25" customHeight="1" spans="7:9">
      <c r="G226" s="5" t="str">
        <f t="shared" si="3"/>
        <v/>
      </c>
      <c r="I226" s="5" t="str">
        <f>IFERROR(IF(H226="ND","ND",baoliuxiaoshuwei(((H226-基础页!$B$23)*基础页!$B$16)/C226*5,2)),"")</f>
        <v/>
      </c>
    </row>
    <row r="227" ht="20.25" customHeight="1" spans="7:9">
      <c r="G227" s="5" t="str">
        <f t="shared" si="3"/>
        <v/>
      </c>
      <c r="I227" s="5" t="str">
        <f>IFERROR(IF(H227="ND","ND",baoliuxiaoshuwei(((H227-基础页!$B$23)*基础页!$B$16)/C227*5,2)),"")</f>
        <v/>
      </c>
    </row>
    <row r="228" ht="20.25" customHeight="1" spans="7:9">
      <c r="G228" s="5" t="str">
        <f t="shared" si="3"/>
        <v/>
      </c>
      <c r="I228" s="5" t="str">
        <f>IFERROR(IF(H228="ND","ND",baoliuxiaoshuwei(((H228-基础页!$B$23)*基础页!$B$16)/C228*5,2)),"")</f>
        <v/>
      </c>
    </row>
    <row r="229" ht="20.25" customHeight="1" spans="7:9">
      <c r="G229" s="5" t="str">
        <f t="shared" si="3"/>
        <v/>
      </c>
      <c r="I229" s="5" t="str">
        <f>IFERROR(IF(H229="ND","ND",baoliuxiaoshuwei(((H229-基础页!$B$23)*基础页!$B$16)/C229*5,2)),"")</f>
        <v/>
      </c>
    </row>
    <row r="230" ht="20.25" customHeight="1" spans="7:9">
      <c r="G230" s="5" t="str">
        <f t="shared" si="3"/>
        <v/>
      </c>
      <c r="I230" s="5" t="str">
        <f>IFERROR(IF(H230="ND","ND",baoliuxiaoshuwei(((H230-基础页!$B$23)*基础页!$B$16)/C230*5,2)),"")</f>
        <v/>
      </c>
    </row>
    <row r="231" ht="20.25" customHeight="1" spans="7:9">
      <c r="G231" s="5" t="str">
        <f t="shared" si="3"/>
        <v/>
      </c>
      <c r="I231" s="5" t="str">
        <f>IFERROR(IF(H231="ND","ND",baoliuxiaoshuwei(((H231-基础页!$B$23)*基础页!$B$16)/C231*5,2)),"")</f>
        <v/>
      </c>
    </row>
    <row r="232" ht="20.25" customHeight="1" spans="7:9">
      <c r="G232" s="5" t="str">
        <f t="shared" si="3"/>
        <v/>
      </c>
      <c r="I232" s="5" t="str">
        <f>IFERROR(IF(H232="ND","ND",baoliuxiaoshuwei(((H232-基础页!$B$23)*基础页!$B$16)/C232*5,2)),"")</f>
        <v/>
      </c>
    </row>
    <row r="233" ht="20.25" customHeight="1" spans="7:9">
      <c r="G233" s="5" t="str">
        <f t="shared" si="3"/>
        <v/>
      </c>
      <c r="I233" s="5" t="str">
        <f>IFERROR(IF(H233="ND","ND",baoliuxiaoshuwei(((H233-基础页!$B$23)*基础页!$B$16)/C233*5,2)),"")</f>
        <v/>
      </c>
    </row>
    <row r="234" ht="20.25" customHeight="1" spans="7:9">
      <c r="G234" s="5" t="str">
        <f t="shared" si="3"/>
        <v/>
      </c>
      <c r="I234" s="5" t="str">
        <f>IFERROR(IF(H234="ND","ND",baoliuxiaoshuwei(((H234-基础页!$B$23)*基础页!$B$16)/C234*5,2)),"")</f>
        <v/>
      </c>
    </row>
    <row r="235" ht="20.25" customHeight="1" spans="7:9">
      <c r="G235" s="5" t="str">
        <f t="shared" si="3"/>
        <v/>
      </c>
      <c r="I235" s="5" t="str">
        <f>IFERROR(IF(H235="ND","ND",baoliuxiaoshuwei(((H235-基础页!$B$23)*基础页!$B$16)/C235*5,2)),"")</f>
        <v/>
      </c>
    </row>
    <row r="236" ht="20.25" customHeight="1" spans="7:9">
      <c r="G236" s="5" t="str">
        <f t="shared" si="3"/>
        <v/>
      </c>
      <c r="I236" s="5" t="str">
        <f>IFERROR(IF(H236="ND","ND",baoliuxiaoshuwei(((H236-基础页!$B$23)*基础页!$B$16)/C236*5,2)),"")</f>
        <v/>
      </c>
    </row>
    <row r="237" ht="20.25" customHeight="1" spans="7:9">
      <c r="G237" s="5" t="str">
        <f t="shared" si="3"/>
        <v/>
      </c>
      <c r="I237" s="5" t="str">
        <f>IFERROR(IF(H237="ND","ND",baoliuxiaoshuwei(((H237-基础页!$B$23)*基础页!$B$16)/C237*5,2)),"")</f>
        <v/>
      </c>
    </row>
    <row r="238" ht="20.25" customHeight="1" spans="7:9">
      <c r="G238" s="5" t="str">
        <f t="shared" si="3"/>
        <v/>
      </c>
      <c r="I238" s="5" t="str">
        <f>IFERROR(IF(H238="ND","ND",baoliuxiaoshuwei(((H238-基础页!$B$23)*基础页!$B$16)/C238*5,2)),"")</f>
        <v/>
      </c>
    </row>
    <row r="239" ht="20.25" customHeight="1" spans="7:9">
      <c r="G239" s="5" t="str">
        <f t="shared" si="3"/>
        <v/>
      </c>
      <c r="I239" s="5" t="str">
        <f>IFERROR(IF(H239="ND","ND",baoliuxiaoshuwei(((H239-基础页!$B$23)*基础页!$B$16)/C239*5,2)),"")</f>
        <v/>
      </c>
    </row>
    <row r="240" ht="20.25" customHeight="1" spans="7:9">
      <c r="G240" s="5" t="str">
        <f t="shared" si="3"/>
        <v/>
      </c>
      <c r="I240" s="5" t="str">
        <f>IFERROR(IF(H240="ND","ND",baoliuxiaoshuwei(((H240-基础页!$B$23)*基础页!$B$16)/C240*5,2)),"")</f>
        <v/>
      </c>
    </row>
    <row r="241" ht="20.25" customHeight="1" spans="7:9">
      <c r="G241" s="5" t="str">
        <f t="shared" si="3"/>
        <v/>
      </c>
      <c r="I241" s="5" t="str">
        <f>IFERROR(IF(H241="ND","ND",baoliuxiaoshuwei(((H241-基础页!$B$23)*基础页!$B$16)/C241*5,2)),"")</f>
        <v/>
      </c>
    </row>
    <row r="242" ht="20.25" customHeight="1" spans="7:9">
      <c r="G242" s="5" t="str">
        <f t="shared" si="3"/>
        <v/>
      </c>
      <c r="I242" s="5" t="str">
        <f>IFERROR(IF(H242="ND","ND",baoliuxiaoshuwei(((H242-基础页!$B$23)*基础页!$B$16)/C242*5,2)),"")</f>
        <v/>
      </c>
    </row>
    <row r="243" ht="20.25" customHeight="1" spans="7:9">
      <c r="G243" s="5" t="str">
        <f t="shared" si="3"/>
        <v/>
      </c>
      <c r="I243" s="5" t="str">
        <f>IFERROR(IF(H243="ND","ND",baoliuxiaoshuwei(((H243-基础页!$B$23)*基础页!$B$16)/C243*5,2)),"")</f>
        <v/>
      </c>
    </row>
    <row r="244" ht="20.25" customHeight="1" spans="7:9">
      <c r="G244" s="5" t="str">
        <f t="shared" si="3"/>
        <v/>
      </c>
      <c r="I244" s="5" t="str">
        <f>IFERROR(IF(H244="ND","ND",baoliuxiaoshuwei(((H244-基础页!$B$23)*基础页!$B$16)/C244*5,2)),"")</f>
        <v/>
      </c>
    </row>
    <row r="245" ht="20.25" customHeight="1" spans="7:9">
      <c r="G245" s="5" t="str">
        <f t="shared" si="3"/>
        <v/>
      </c>
      <c r="I245" s="5" t="str">
        <f>IFERROR(IF(H245="ND","ND",baoliuxiaoshuwei(((H245-基础页!$B$23)*基础页!$B$16)/C245*5,2)),"")</f>
        <v/>
      </c>
    </row>
    <row r="246" ht="20.25" customHeight="1" spans="7:9">
      <c r="G246" s="5" t="str">
        <f t="shared" si="3"/>
        <v/>
      </c>
      <c r="I246" s="5" t="str">
        <f>IFERROR(IF(H246="ND","ND",baoliuxiaoshuwei(((H246-基础页!$B$23)*基础页!$B$16)/C246*5,2)),"")</f>
        <v/>
      </c>
    </row>
    <row r="247" ht="20.25" customHeight="1" spans="7:9">
      <c r="G247" s="5" t="str">
        <f t="shared" si="3"/>
        <v/>
      </c>
      <c r="I247" s="5" t="str">
        <f>IFERROR(IF(H247="ND","ND",baoliuxiaoshuwei(((H247-基础页!$B$23)*基础页!$B$16)/C247*5,2)),"")</f>
        <v/>
      </c>
    </row>
    <row r="248" ht="20.25" customHeight="1" spans="7:9">
      <c r="G248" s="5" t="str">
        <f t="shared" si="3"/>
        <v/>
      </c>
      <c r="I248" s="5" t="str">
        <f>IFERROR(IF(H248="ND","ND",baoliuxiaoshuwei(((H248-基础页!$B$23)*基础页!$B$16)/C248*5,2)),"")</f>
        <v/>
      </c>
    </row>
    <row r="249" ht="20.25" customHeight="1" spans="7:9">
      <c r="G249" s="5" t="str">
        <f t="shared" si="3"/>
        <v/>
      </c>
      <c r="I249" s="5" t="str">
        <f>IFERROR(IF(H249="ND","ND",baoliuxiaoshuwei(((H249-基础页!$B$23)*基础页!$B$16)/C249*5,2)),"")</f>
        <v/>
      </c>
    </row>
    <row r="250" ht="20.25" customHeight="1" spans="7:9">
      <c r="G250" s="5" t="str">
        <f t="shared" si="3"/>
        <v/>
      </c>
      <c r="I250" s="5" t="str">
        <f>IFERROR(IF(H250="ND","ND",baoliuxiaoshuwei(((H250-基础页!$B$23)*基础页!$B$16)/C250*5,2)),"")</f>
        <v/>
      </c>
    </row>
    <row r="251" ht="20.25" customHeight="1" spans="7:9">
      <c r="G251" s="5" t="str">
        <f t="shared" si="3"/>
        <v/>
      </c>
      <c r="I251" s="5" t="str">
        <f>IFERROR(IF(H251="ND","ND",baoliuxiaoshuwei(((H251-基础页!$B$23)*基础页!$B$16)/C251*5,2)),"")</f>
        <v/>
      </c>
    </row>
    <row r="252" ht="20.25" customHeight="1" spans="7:9">
      <c r="G252" s="5" t="str">
        <f t="shared" si="3"/>
        <v/>
      </c>
      <c r="I252" s="5" t="str">
        <f>IFERROR(IF(H252="ND","ND",baoliuxiaoshuwei(((H252-基础页!$B$23)*基础页!$B$16)/C252*5,2)),"")</f>
        <v/>
      </c>
    </row>
    <row r="253" ht="20.25" customHeight="1" spans="9:9">
      <c r="I253" s="5" t="str">
        <f>IFERROR(IF(H253="ND","ND",baoliuxiaoshuwei(((H253-基础页!$B$23)*基础页!$B$16)/C253*5,2)),"")</f>
        <v/>
      </c>
    </row>
    <row r="254" ht="20.25" customHeight="1" spans="9:9">
      <c r="I254" s="5" t="str">
        <f>IFERROR(IF(H254="ND","ND",baoliuxiaoshuwei(((H254-基础页!$B$23)*基础页!$B$16)/C254*5,2)),"")</f>
        <v/>
      </c>
    </row>
    <row r="255" ht="20.25" customHeight="1" spans="9:9">
      <c r="I255" s="5" t="str">
        <f>IFERROR(IF(H255="ND","ND",baoliuxiaoshuwei(((H255-基础页!$B$23)*基础页!$B$16)/C255*5,2)),"")</f>
        <v/>
      </c>
    </row>
    <row r="256" ht="20.25" customHeight="1" spans="9:9">
      <c r="I256" s="5" t="str">
        <f>IFERROR(IF(H256="ND","ND",baoliuxiaoshuwei(((H256-基础页!$B$23)*基础页!$B$16)/C256*5,2)),"")</f>
        <v/>
      </c>
    </row>
    <row r="257" ht="20.25" customHeight="1" spans="9:9">
      <c r="I257" s="5" t="str">
        <f>IFERROR(IF(H257="ND","ND",baoliuxiaoshuwei(((H257-基础页!$B$23)*基础页!$B$16)/C257*5,2)),"")</f>
        <v/>
      </c>
    </row>
    <row r="258" ht="20.25" customHeight="1" spans="9:9">
      <c r="I258" s="5" t="str">
        <f>IFERROR(IF(H258="ND","ND",baoliuxiaoshuwei(((H258-基础页!$B$23)*基础页!$B$16)/C258*5,2)),"")</f>
        <v/>
      </c>
    </row>
    <row r="259" ht="20.25" customHeight="1" spans="9:9">
      <c r="I259" s="5" t="str">
        <f>IFERROR(IF(H259="ND","ND",baoliuxiaoshuwei(((H259-基础页!$B$23)*基础页!$B$16)/C259*5,2)),"")</f>
        <v/>
      </c>
    </row>
    <row r="260" ht="20.25" customHeight="1" spans="9:9">
      <c r="I260" s="5" t="str">
        <f>IFERROR(IF(H260="ND","ND",baoliuxiaoshuwei(((H260-基础页!$B$23)*基础页!$B$16)/C260*5,2)),"")</f>
        <v/>
      </c>
    </row>
    <row r="261" ht="20.25" customHeight="1"/>
    <row r="262" ht="20.25" customHeight="1"/>
    <row r="263" ht="20.25" customHeight="1"/>
    <row r="264" ht="20.25" customHeight="1"/>
    <row r="265" ht="20.25" customHeight="1"/>
    <row r="266" ht="20.25" customHeight="1"/>
    <row r="267" ht="20.25" customHeight="1"/>
    <row r="268" ht="20.25" customHeight="1"/>
    <row r="269" ht="20.25" customHeight="1"/>
    <row r="270" ht="20.25" customHeight="1"/>
    <row r="271" ht="20.25" customHeight="1"/>
    <row r="272" ht="20.25" customHeight="1"/>
    <row r="273" ht="20.25" customHeight="1"/>
    <row r="274" ht="20.25" customHeight="1"/>
    <row r="275" ht="20.25" customHeight="1"/>
    <row r="276" ht="20.25" customHeight="1"/>
    <row r="277" ht="20.25" customHeight="1"/>
    <row r="278" ht="20.25" customHeight="1"/>
    <row r="279" ht="20.25" customHeight="1"/>
    <row r="280" ht="20.25" customHeight="1"/>
    <row r="281" ht="20.25" customHeight="1"/>
    <row r="282" ht="20.25" customHeight="1"/>
    <row r="283" ht="20.25" customHeight="1"/>
    <row r="284" ht="20.25" customHeight="1"/>
    <row r="285" ht="20.25" customHeight="1"/>
    <row r="286" ht="20.25" customHeight="1"/>
    <row r="287" ht="20.25" customHeight="1"/>
    <row r="288" ht="20.25" customHeight="1"/>
    <row r="289" ht="20.25" customHeight="1"/>
    <row r="290" ht="20.25" customHeight="1"/>
    <row r="291" ht="20.25" customHeight="1"/>
    <row r="292" ht="20.25" customHeight="1"/>
    <row r="293" ht="20.25" customHeight="1"/>
    <row r="294" ht="20.25" customHeight="1"/>
    <row r="295" ht="20.25" customHeight="1"/>
    <row r="296" ht="20.25" customHeight="1"/>
    <row r="297" ht="20.25" customHeight="1"/>
    <row r="298" ht="20.25" customHeight="1"/>
    <row r="299" ht="20.25" customHeight="1"/>
    <row r="300" ht="20.25" customHeight="1"/>
    <row r="301" ht="20.25" customHeight="1"/>
    <row r="302" ht="20.25" customHeight="1"/>
    <row r="303" ht="20.25" customHeight="1"/>
    <row r="304" ht="20.25" customHeight="1"/>
    <row r="305" ht="20.25" customHeight="1"/>
    <row r="306" ht="20.25" customHeight="1"/>
    <row r="307" ht="20.25" customHeight="1"/>
    <row r="308" ht="20.25" customHeight="1"/>
    <row r="309" ht="20.25" customHeight="1"/>
    <row r="310" ht="20.25" customHeight="1"/>
    <row r="311" ht="20.25" customHeight="1"/>
    <row r="312" ht="20.25" customHeight="1"/>
    <row r="313" ht="20.25" customHeight="1"/>
    <row r="314" ht="20.25" customHeight="1"/>
    <row r="315" ht="20.25" customHeight="1"/>
    <row r="316" ht="20.25" customHeight="1"/>
    <row r="317" ht="20.25" customHeight="1"/>
    <row r="318" ht="20.25" customHeight="1"/>
    <row r="319" ht="20.25" customHeight="1"/>
    <row r="320" ht="20.25" customHeight="1"/>
    <row r="321" ht="20.25" customHeight="1"/>
    <row r="322" ht="20.25" customHeight="1"/>
    <row r="323" ht="20.25" customHeight="1"/>
    <row r="324" ht="20.25" customHeight="1"/>
    <row r="325" ht="20.25" customHeight="1"/>
    <row r="326" ht="20.25" customHeight="1"/>
    <row r="327" ht="20.25" customHeight="1"/>
    <row r="328" ht="20.25" customHeight="1"/>
    <row r="329" ht="20.25" customHeight="1"/>
    <row r="330" ht="20.25" customHeight="1"/>
    <row r="331" ht="20.25" customHeight="1"/>
    <row r="332" ht="20.25" customHeight="1"/>
    <row r="333" ht="20.25" customHeight="1"/>
    <row r="334" ht="20.25" customHeight="1"/>
    <row r="335" ht="20.25" customHeight="1"/>
    <row r="336" ht="20.25" customHeight="1"/>
    <row r="337" ht="20.25" customHeight="1"/>
    <row r="338" ht="20.25" customHeight="1"/>
    <row r="339" ht="20.25" customHeight="1"/>
    <row r="340" ht="20.25" customHeight="1"/>
    <row r="341" ht="20.25" customHeight="1"/>
    <row r="342" ht="20.25" customHeight="1"/>
    <row r="343" ht="20.25" customHeight="1"/>
    <row r="344" ht="20.25" customHeight="1"/>
    <row r="345" ht="20.25" customHeight="1"/>
    <row r="346" ht="20.25" customHeight="1"/>
    <row r="347" ht="20.25" customHeight="1"/>
    <row r="348" ht="20.25" customHeight="1"/>
    <row r="349" ht="20.25" customHeight="1"/>
    <row r="350" ht="20.25" customHeight="1"/>
    <row r="351" ht="20.25" customHeight="1"/>
    <row r="352" ht="20.25" customHeight="1"/>
    <row r="353" ht="20.25" customHeight="1"/>
    <row r="354" ht="20.25" customHeight="1"/>
    <row r="355" ht="20.25" customHeight="1"/>
    <row r="356" ht="20.25" customHeight="1"/>
    <row r="357" ht="20.25" customHeight="1"/>
    <row r="358" ht="20.25" customHeight="1"/>
    <row r="359" ht="20.25" customHeight="1"/>
    <row r="360" ht="20.25" customHeight="1"/>
    <row r="361" ht="20.25" customHeight="1"/>
    <row r="362" ht="20.25" customHeight="1"/>
    <row r="363" ht="20.25" customHeight="1"/>
    <row r="364" ht="20.25" customHeight="1"/>
    <row r="365" ht="20.25" customHeight="1"/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sheetProtection formatCells="0" formatColumns="0" formatRows="0" sort="0" autoFilter="0" pivotTables="0"/>
  <mergeCells count="17">
    <mergeCell ref="E2:G2"/>
    <mergeCell ref="H2:I2"/>
    <mergeCell ref="J2:N2"/>
    <mergeCell ref="E3:F3"/>
    <mergeCell ref="A2:A4"/>
    <mergeCell ref="B2:B4"/>
    <mergeCell ref="C2:C4"/>
    <mergeCell ref="D2:D4"/>
    <mergeCell ref="G3:G4"/>
    <mergeCell ref="H3:H4"/>
    <mergeCell ref="I3:I4"/>
    <mergeCell ref="J3:J4"/>
    <mergeCell ref="K3:K4"/>
    <mergeCell ref="L3:L4"/>
    <mergeCell ref="M3:M4"/>
    <mergeCell ref="N3:N4"/>
    <mergeCell ref="O2:O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Windows 用户</cp:lastModifiedBy>
  <dcterms:created xsi:type="dcterms:W3CDTF">2006-09-16T00:00:00Z</dcterms:created>
  <dcterms:modified xsi:type="dcterms:W3CDTF">2021-10-26T09:02:15Z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