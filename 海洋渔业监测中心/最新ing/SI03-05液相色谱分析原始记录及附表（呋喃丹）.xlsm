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DHZwMDagPGh6k3qYErajbMHeXxepN71ljpgCNunvs6s/T2eVBiySR2dur6bavVhHrTuqle4Tj++jvhHU6Ha5cQ==" workbookSaltValue="meIQSKouvv9sNrI/XCqq4g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<sst xmlns="http://schemas.openxmlformats.org/spreadsheetml/2006/main" count="79">
  <si>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</si>
  <si>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</si>
  <si>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</si>
  <si>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</si>
  <si>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</si>
  <si>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</si>
  <si>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</si>
  <si>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</si>
  <si>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</si>
  <si>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</si>
  <si>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</si>
  <si>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</si>
  <si>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</si>
  <si>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</si>
  <si>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</si>
  <si>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</si>
  <si>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</si>
  <si>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</si>
  <si>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</si>
  <si>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</si>
  <si>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水质样</t>
  </si>
  <si>
    <t>检测地点</t>
  </si>
  <si>
    <t>301室</t>
  </si>
  <si>
    <t>检测方法</t>
  </si>
  <si>
    <t>GB/T 5750.9—2006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</si>
  <si>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</si>
  <si>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</si>
  <si>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</si>
  <si>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g/L)</t>
    </r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</si>
  <si>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</si>
  <si>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</si>
  <si>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</si>
  <si>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</si>
  <si>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仪器名称及编号</t>
  </si>
  <si>
    <t>超高效液相色谱仪AS274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</si>
  <si>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</si>
  <si>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</si>
  <si>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</si>
  <si>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</si>
  <si>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</si>
  <si>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100 mm×2.1 mm
1.7 μm</t>
    </r>
  </si>
  <si>
    <t>柱温(℃)</t>
  </si>
  <si>
    <t>流动相</t>
  </si>
  <si>
    <t>A:水
B:乙腈</t>
  </si>
  <si>
    <t>洗脱程序</t>
  </si>
  <si>
    <t>A : B=6 : 4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</si>
  <si>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</si>
  <si>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</si>
  <si>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检测波长</t>
  </si>
  <si>
    <r>
      <rPr>
        <sz val="11"/>
        <color theme="1"/>
        <rFont val="微软雅黑"/>
        <charset val="134"/>
      </rPr>
      <t>激发波长：</t>
    </r>
    <r>
      <rPr>
        <sz val="11"/>
        <color theme="1"/>
        <rFont val="Times New Roman"/>
        <charset val="134"/>
      </rPr>
      <t>270 nm</t>
    </r>
    <r>
      <rPr>
        <sz val="11"/>
        <color theme="1"/>
        <rFont val="微软雅黑"/>
        <charset val="134"/>
      </rPr>
      <t>；发射波长：</t>
    </r>
    <r>
      <rPr>
        <sz val="11"/>
        <color theme="1"/>
        <rFont val="Times New Roman"/>
        <charset val="134"/>
      </rPr>
      <t>310 nm</t>
    </r>
  </si>
  <si>
    <t>标准溶液</t>
  </si>
  <si>
    <r>
      <rPr>
        <sz val="11"/>
        <color theme="1"/>
        <rFont val="宋体"/>
        <charset val="134"/>
      </rPr>
      <t xml:space="preserve">标准工作溶液浓度(  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</si>
  <si>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</si>
  <si>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</si>
  <si>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</si>
  <si>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</si>
  <si>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÷V</t>
    </r>
  </si>
  <si>
    <t>签名</t>
  </si>
  <si>
    <t>检测人</t>
  </si>
  <si>
    <t>校核人</t>
  </si>
  <si>
    <t>审核人</t>
  </si>
  <si>
    <t>序号</t>
  </si>
  <si>
    <t>样品编号</t>
  </si>
  <si>
    <t>取样量V(mL)</t>
  </si>
  <si>
    <t>定性判定</t>
  </si>
  <si>
    <t>定量结果</t>
  </si>
  <si>
    <t>质控</t>
  </si>
  <si>
    <t>备注</t>
  </si>
  <si>
    <t>保留时间（min）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</si>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</sst>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176" formatCode="0.0_ ;[Red]\-0.0\ "/>
    <numFmt numFmtId="177" formatCode="0.0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8" formatCode="0.000"/>
    <numFmt numFmtId="179" formatCode="0.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0"/>
      <name val="Arial"/>
      <charset val="134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9" fillId="25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20" borderId="14" applyNumberFormat="0" applyFon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33" fillId="16" borderId="15" applyNumberFormat="0" applyAlignment="0" applyProtection="0">
      <alignment vertical="center"/>
    </xf>
    <xf numFmtId="0" fontId="20" fillId="16" borderId="11" applyNumberFormat="0" applyAlignment="0" applyProtection="0">
      <alignment vertical="center"/>
    </xf>
    <xf numFmtId="0" fontId="26" fillId="18" borderId="13" applyNumberFormat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5" fillId="0" borderId="0"/>
  </cellStyleXfs>
  <cellXfs count="90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vertical="center"/>
      <protection locked="0"/>
    </xf>
    <xf numFmtId="49" fontId="2" fillId="6" borderId="3" xfId="49" applyNumberFormat="1" applyFont="1" applyFill="1" applyBorder="1" applyAlignment="1" applyProtection="1">
      <alignment vertical="center"/>
      <protection locked="0"/>
    </xf>
    <xf numFmtId="49" fontId="2" fillId="6" borderId="1" xfId="49" applyNumberFormat="1" applyFont="1" applyFill="1" applyBorder="1" applyAlignment="1" applyProtection="1">
      <alignment vertical="center"/>
      <protection locked="0"/>
    </xf>
    <xf numFmtId="0" fontId="2" fillId="6" borderId="1" xfId="49" applyNumberFormat="1" applyFont="1" applyFill="1" applyBorder="1" applyAlignment="1" applyProtection="1">
      <alignment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6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177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17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top" wrapText="1"/>
      <protection locked="0"/>
    </xf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5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3" xfId="0" applyNumberFormat="1" applyFont="1" applyFill="1" applyBorder="1" applyAlignment="1" applyProtection="1">
      <alignment horizontal="left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/>
    </xf>
    <xf numFmtId="49" fontId="5" fillId="4" borderId="2" xfId="0" applyNumberFormat="1" applyFont="1" applyFill="1" applyBorder="1" applyAlignment="1">
      <alignment horizontal="center" vertical="center"/>
    </xf>
    <xf numFmtId="49" fontId="5" fillId="4" borderId="3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3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9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0984230" y="452691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199870" y="425069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7</xdr:col>
      <xdr:colOff>237565</xdr:colOff>
      <xdr:row>24</xdr:row>
      <xdr:rowOff>26892</xdr:rowOff>
    </xdr:from>
    <xdr:ext cx="963790" cy="591671"/>
    <xdr:sp>
      <xdr:nvSpPr>
        <xdr:cNvPr id="4" name="文本框 3"/>
        <xdr:cNvSpPr txBox="1"/>
      </xdr:nvSpPr>
      <xdr:spPr>
        <a:xfrm>
          <a:off x="6889750" y="9418955"/>
          <a:ext cx="963295" cy="5918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28"/>
  <sheetViews>
    <sheetView tabSelected="1" zoomScale="85" zoomScaleNormal="85" workbookViewId="0">
      <selection activeCell="M29" sqref="M29"/>
    </sheetView>
  </sheetViews>
  <sheetFormatPr defaultColWidth="9" defaultRowHeight="20.25" customHeight="1"/>
  <cols>
    <col min="1" max="1" width="23.5555555555556" style="33" customWidth="1"/>
    <col min="2" max="3" width="12.8888888888889" style="33" customWidth="1"/>
    <col min="4" max="4" width="13.7777777777778" style="33" customWidth="1"/>
    <col min="5" max="5" width="14" style="33" customWidth="1"/>
    <col min="6" max="6" width="14.7777777777778" style="33" customWidth="1"/>
    <col min="7" max="17" width="5.11111111111111" style="2" customWidth="1"/>
    <col min="18" max="18" width="9" style="2"/>
    <col min="19" max="19" width="34.4444444444444" style="2" customWidth="1"/>
    <col min="20" max="16384" width="9" style="2"/>
  </cols>
  <sheetData>
    <row r="1" customHeight="1" spans="1:22">
      <c r="A1" s="34" t="s">
        <v>0</v>
      </c>
      <c r="B1" s="34"/>
      <c r="C1" s="34"/>
      <c r="D1" s="34"/>
      <c r="E1" s="34"/>
      <c r="F1" s="34"/>
      <c r="G1" s="35" t="s">
        <v>1</v>
      </c>
      <c r="H1" s="36"/>
      <c r="I1" s="36"/>
      <c r="J1" s="36"/>
      <c r="K1" s="36"/>
      <c r="L1" s="36"/>
      <c r="M1" s="36"/>
      <c r="N1" s="36"/>
      <c r="O1" s="36"/>
      <c r="P1" s="36"/>
      <c r="Q1" s="85"/>
      <c r="R1" s="86"/>
      <c r="S1" s="87" t="s">
        <v>2</v>
      </c>
      <c r="T1" s="86" t="s">
        <v>3</v>
      </c>
      <c r="U1" s="86"/>
      <c r="V1" s="86"/>
    </row>
    <row r="2" s="1" customFormat="1" ht="21" customHeight="1" spans="1:22">
      <c r="A2" s="37" t="s">
        <v>4</v>
      </c>
      <c r="B2" s="38"/>
      <c r="C2" s="38"/>
      <c r="D2" s="38"/>
      <c r="E2" s="38"/>
      <c r="F2" s="38"/>
      <c r="G2" s="39"/>
      <c r="H2" s="36"/>
      <c r="I2" s="76" t="s">
        <v>5</v>
      </c>
      <c r="J2" s="76"/>
      <c r="K2" s="76"/>
      <c r="L2" s="77"/>
      <c r="M2" s="76" t="s">
        <v>6</v>
      </c>
      <c r="N2" s="76"/>
      <c r="O2" s="76"/>
      <c r="P2" s="36"/>
      <c r="Q2" s="85"/>
      <c r="R2" s="88"/>
      <c r="S2" s="89" t="s">
        <v>7</v>
      </c>
      <c r="T2" s="88" t="s">
        <v>8</v>
      </c>
      <c r="U2" s="88"/>
      <c r="V2" s="88"/>
    </row>
    <row r="3" s="1" customFormat="1" ht="21" customHeight="1" spans="1:22">
      <c r="A3" s="37" t="s">
        <v>9</v>
      </c>
      <c r="B3" s="3"/>
      <c r="C3" s="3"/>
      <c r="D3" s="3"/>
      <c r="E3" s="3"/>
      <c r="F3" s="3"/>
      <c r="G3" s="39"/>
      <c r="H3" s="36"/>
      <c r="I3" s="76"/>
      <c r="J3" s="76"/>
      <c r="K3" s="76"/>
      <c r="L3" s="77"/>
      <c r="M3" s="76"/>
      <c r="N3" s="76"/>
      <c r="O3" s="76"/>
      <c r="P3" s="36"/>
      <c r="Q3" s="85"/>
      <c r="R3" s="88"/>
      <c r="S3" s="89" t="s">
        <v>10</v>
      </c>
      <c r="T3" s="88" t="s">
        <v>11</v>
      </c>
      <c r="U3" s="88"/>
      <c r="V3" s="88"/>
    </row>
    <row r="4" s="1" customFormat="1" ht="21" customHeight="1" spans="1:22">
      <c r="A4" s="37" t="s">
        <v>12</v>
      </c>
      <c r="B4" s="3"/>
      <c r="C4" s="3"/>
      <c r="D4" s="3"/>
      <c r="E4" s="3"/>
      <c r="F4" s="3"/>
      <c r="G4" s="39"/>
      <c r="H4" s="36"/>
      <c r="I4" s="77"/>
      <c r="J4" s="77"/>
      <c r="K4" s="77"/>
      <c r="L4" s="77"/>
      <c r="M4" s="77"/>
      <c r="N4" s="78"/>
      <c r="O4" s="78"/>
      <c r="P4" s="36"/>
      <c r="Q4" s="85"/>
      <c r="R4" s="88"/>
      <c r="S4" s="89" t="s">
        <v>13</v>
      </c>
      <c r="T4" s="88" t="s">
        <v>14</v>
      </c>
      <c r="U4" s="88"/>
      <c r="V4" s="88"/>
    </row>
    <row r="5" s="1" customFormat="1" ht="21" customHeight="1" spans="1:22">
      <c r="A5" s="37" t="s">
        <v>15</v>
      </c>
      <c r="B5" s="40"/>
      <c r="C5" s="40"/>
      <c r="D5" s="3"/>
      <c r="E5" s="3"/>
      <c r="F5" s="3"/>
      <c r="G5" s="39"/>
      <c r="H5" s="36"/>
      <c r="I5" s="76" t="s">
        <v>16</v>
      </c>
      <c r="J5" s="76"/>
      <c r="K5" s="76"/>
      <c r="L5" s="77"/>
      <c r="M5" s="76" t="s">
        <v>17</v>
      </c>
      <c r="N5" s="76"/>
      <c r="O5" s="76"/>
      <c r="P5" s="36"/>
      <c r="Q5" s="85"/>
      <c r="R5" s="88"/>
      <c r="S5" s="88"/>
      <c r="T5" s="88"/>
      <c r="U5" s="88"/>
      <c r="V5" s="88"/>
    </row>
    <row r="6" s="1" customFormat="1" ht="21" customHeight="1" spans="1:17">
      <c r="A6" s="37" t="s">
        <v>18</v>
      </c>
      <c r="B6" s="3"/>
      <c r="C6" s="3"/>
      <c r="D6" s="3"/>
      <c r="E6" s="3"/>
      <c r="F6" s="3"/>
      <c r="G6" s="41"/>
      <c r="H6" s="36"/>
      <c r="I6" s="76"/>
      <c r="J6" s="76"/>
      <c r="K6" s="76"/>
      <c r="L6" s="77"/>
      <c r="M6" s="76"/>
      <c r="N6" s="76"/>
      <c r="O6" s="76"/>
      <c r="P6" s="36"/>
      <c r="Q6" s="85"/>
    </row>
    <row r="7" s="1" customFormat="1" ht="21" customHeight="1" spans="1:17">
      <c r="A7" s="37" t="s">
        <v>19</v>
      </c>
      <c r="B7" s="40" t="s">
        <v>20</v>
      </c>
      <c r="C7" s="40"/>
      <c r="D7" s="40"/>
      <c r="E7" s="40"/>
      <c r="F7" s="40"/>
      <c r="G7" s="41"/>
      <c r="H7" s="36"/>
      <c r="I7" s="76"/>
      <c r="J7" s="76"/>
      <c r="K7" s="76"/>
      <c r="L7" s="77"/>
      <c r="M7" s="76"/>
      <c r="N7" s="76"/>
      <c r="O7" s="76"/>
      <c r="P7" s="36"/>
      <c r="Q7" s="85"/>
    </row>
    <row r="8" s="1" customFormat="1" ht="21.6" customHeight="1" spans="1:17">
      <c r="A8" s="37" t="s">
        <v>21</v>
      </c>
      <c r="B8" s="40" t="s">
        <v>22</v>
      </c>
      <c r="C8" s="40"/>
      <c r="D8" s="40"/>
      <c r="E8" s="40"/>
      <c r="F8" s="40"/>
      <c r="G8" s="41"/>
      <c r="H8" s="36"/>
      <c r="I8" s="79"/>
      <c r="J8" s="79"/>
      <c r="K8" s="79"/>
      <c r="L8" s="80"/>
      <c r="M8" s="79"/>
      <c r="N8" s="79"/>
      <c r="O8" s="79"/>
      <c r="P8" s="36"/>
      <c r="Q8" s="85"/>
    </row>
    <row r="9" s="1" customFormat="1" ht="41" customHeight="1" spans="1:17">
      <c r="A9" s="37" t="s">
        <v>23</v>
      </c>
      <c r="B9" s="42" t="s">
        <v>24</v>
      </c>
      <c r="C9" s="42"/>
      <c r="D9" s="4"/>
      <c r="E9" s="4"/>
      <c r="F9" s="4"/>
      <c r="G9" s="43"/>
      <c r="H9" s="2"/>
      <c r="I9" s="2"/>
      <c r="N9" s="2"/>
      <c r="O9" s="2"/>
      <c r="P9" s="2"/>
      <c r="Q9" s="43"/>
    </row>
    <row r="10" s="1" customFormat="1" ht="20.1" customHeight="1" spans="1:17">
      <c r="A10" s="37" t="s">
        <v>25</v>
      </c>
      <c r="B10" s="44"/>
      <c r="C10" s="44"/>
      <c r="D10" s="45" t="s">
        <v>26</v>
      </c>
      <c r="E10" s="44"/>
      <c r="F10" s="44"/>
      <c r="G10" s="43"/>
      <c r="H10" s="2"/>
      <c r="I10" s="2"/>
      <c r="J10" s="81" t="s">
        <v>27</v>
      </c>
      <c r="K10" s="81"/>
      <c r="L10" s="43"/>
      <c r="M10" s="43"/>
      <c r="N10" s="2"/>
      <c r="O10" s="2"/>
      <c r="P10" s="2"/>
      <c r="Q10" s="43"/>
    </row>
    <row r="11" s="1" customFormat="1" ht="40.35" customHeight="1" spans="1:17">
      <c r="A11" s="37" t="s">
        <v>28</v>
      </c>
      <c r="B11" s="46">
        <v>0.125</v>
      </c>
      <c r="C11" s="46"/>
      <c r="D11" s="47"/>
      <c r="E11" s="47"/>
      <c r="F11" s="47"/>
      <c r="G11" s="43"/>
      <c r="H11" s="43"/>
      <c r="I11" s="2"/>
      <c r="J11" s="82"/>
      <c r="K11" s="83" t="s">
        <v>29</v>
      </c>
      <c r="L11" s="83"/>
      <c r="M11" s="83"/>
      <c r="N11" s="43"/>
      <c r="O11" s="43"/>
      <c r="P11" s="43"/>
      <c r="Q11" s="43"/>
    </row>
    <row r="12" s="1" customFormat="1" ht="21" customHeight="1" spans="1:17">
      <c r="A12" s="37" t="s">
        <v>30</v>
      </c>
      <c r="B12" s="48" t="s">
        <v>31</v>
      </c>
      <c r="C12" s="48"/>
      <c r="D12" s="49"/>
      <c r="E12" s="49"/>
      <c r="F12" s="49"/>
      <c r="G12" s="43"/>
      <c r="H12" s="43"/>
      <c r="I12" s="2"/>
      <c r="J12" s="84"/>
      <c r="K12" s="83" t="s">
        <v>32</v>
      </c>
      <c r="L12" s="83"/>
      <c r="M12" s="83"/>
      <c r="N12" s="43"/>
      <c r="O12" s="43"/>
      <c r="P12" s="43"/>
      <c r="Q12" s="43"/>
    </row>
    <row r="13" s="1" customFormat="1" ht="40.8" customHeight="1" spans="1:17">
      <c r="A13" s="37" t="s">
        <v>33</v>
      </c>
      <c r="B13" s="48" t="s">
        <v>34</v>
      </c>
      <c r="C13" s="48"/>
      <c r="D13" s="49"/>
      <c r="E13" s="49"/>
      <c r="F13" s="49"/>
      <c r="G13" s="43"/>
      <c r="H13" s="43"/>
      <c r="I13" s="2"/>
      <c r="J13" s="43"/>
      <c r="K13" s="83"/>
      <c r="L13" s="2"/>
      <c r="M13" s="2"/>
      <c r="N13" s="43"/>
      <c r="O13" s="43"/>
      <c r="P13" s="43"/>
      <c r="Q13" s="43"/>
    </row>
    <row r="14" ht="25.35" customHeight="1" spans="1:17">
      <c r="A14" s="37" t="s">
        <v>35</v>
      </c>
      <c r="B14" s="50" t="str">
        <f>IFERROR(VLOOKUP(B13,S1:T4,2,),"")</f>
        <v>Waters H-Class</v>
      </c>
      <c r="C14" s="50"/>
      <c r="D14" s="49"/>
      <c r="E14" s="49"/>
      <c r="F14" s="49"/>
      <c r="G14" s="43"/>
      <c r="H14" s="43"/>
      <c r="J14" s="43"/>
      <c r="K14" s="83"/>
      <c r="N14" s="43"/>
      <c r="O14" s="43"/>
      <c r="P14" s="43"/>
      <c r="Q14" s="43"/>
    </row>
    <row r="15" ht="23.1" customHeight="1" spans="1:17">
      <c r="A15" s="37" t="s">
        <v>36</v>
      </c>
      <c r="B15" s="48"/>
      <c r="C15" s="48"/>
      <c r="D15" s="48"/>
      <c r="E15" s="48"/>
      <c r="F15" s="48"/>
      <c r="G15" s="51"/>
      <c r="H15" s="51"/>
      <c r="I15" s="32"/>
      <c r="J15" s="43"/>
      <c r="K15" s="32"/>
      <c r="L15" s="32"/>
      <c r="M15" s="51"/>
      <c r="N15" s="51"/>
      <c r="O15" s="51"/>
      <c r="P15" s="51"/>
      <c r="Q15" s="51"/>
    </row>
    <row r="16" ht="22.35" customHeight="1" spans="1:6">
      <c r="A16" s="52" t="s">
        <v>37</v>
      </c>
      <c r="B16" s="53">
        <v>1</v>
      </c>
      <c r="C16" s="53"/>
      <c r="D16" s="53"/>
      <c r="E16" s="53"/>
      <c r="F16" s="53"/>
    </row>
    <row r="17" ht="74.4" customHeight="1" spans="1:6">
      <c r="A17" s="54" t="s">
        <v>38</v>
      </c>
      <c r="B17" s="52" t="s">
        <v>39</v>
      </c>
      <c r="C17" s="47" t="s">
        <v>40</v>
      </c>
      <c r="D17" s="47"/>
      <c r="E17" s="52" t="s">
        <v>41</v>
      </c>
      <c r="F17" s="55">
        <v>40</v>
      </c>
    </row>
    <row r="18" ht="45.9" customHeight="1" spans="1:6">
      <c r="A18" s="56"/>
      <c r="B18" s="52" t="s">
        <v>42</v>
      </c>
      <c r="C18" s="46" t="s">
        <v>43</v>
      </c>
      <c r="D18" s="46"/>
      <c r="E18" s="52" t="s">
        <v>44</v>
      </c>
      <c r="F18" s="57" t="s">
        <v>45</v>
      </c>
    </row>
    <row r="19" ht="41.4" customHeight="1" spans="1:6">
      <c r="A19" s="56"/>
      <c r="B19" s="52" t="s">
        <v>46</v>
      </c>
      <c r="C19" s="58">
        <v>0.2</v>
      </c>
      <c r="D19" s="58"/>
      <c r="E19" s="52" t="s">
        <v>47</v>
      </c>
      <c r="F19" s="59">
        <v>10</v>
      </c>
    </row>
    <row r="20" ht="33.45" customHeight="1" spans="1:6">
      <c r="A20" s="60"/>
      <c r="B20" s="52" t="s">
        <v>48</v>
      </c>
      <c r="C20" s="61" t="s">
        <v>49</v>
      </c>
      <c r="D20" s="62"/>
      <c r="E20" s="62"/>
      <c r="F20" s="63"/>
    </row>
    <row r="21" s="32" customFormat="1" ht="47.4" customHeight="1" spans="1:17">
      <c r="A21" s="64" t="s">
        <v>50</v>
      </c>
      <c r="B21" s="65" t="s">
        <v>51</v>
      </c>
      <c r="C21" s="66"/>
      <c r="D21" s="66"/>
      <c r="E21" s="65" t="s">
        <v>52</v>
      </c>
      <c r="F21" s="66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42.9" customHeight="1" spans="1:6">
      <c r="A22" s="64"/>
      <c r="B22" s="65" t="s">
        <v>53</v>
      </c>
      <c r="C22" s="67"/>
      <c r="D22" s="68"/>
      <c r="E22" s="68"/>
      <c r="F22" s="69"/>
    </row>
    <row r="23" ht="26.1" customHeight="1" spans="1:6">
      <c r="A23" s="70" t="s">
        <v>54</v>
      </c>
      <c r="B23" s="71">
        <v>0</v>
      </c>
      <c r="C23" s="72"/>
      <c r="D23" s="72"/>
      <c r="E23" s="72"/>
      <c r="F23" s="73" t="str">
        <f>IF(B23=0,"ND",B23)</f>
        <v>ND</v>
      </c>
    </row>
    <row r="24" ht="26.1" customHeight="1" spans="1:6">
      <c r="A24" s="70" t="s">
        <v>55</v>
      </c>
      <c r="B24" s="74" t="s">
        <v>56</v>
      </c>
      <c r="C24" s="74"/>
      <c r="D24" s="74"/>
      <c r="E24" s="74"/>
      <c r="F24" s="74"/>
    </row>
    <row r="25" customHeight="1" spans="1:6">
      <c r="A25" s="75" t="s">
        <v>57</v>
      </c>
      <c r="B25" s="75"/>
      <c r="C25" s="75"/>
      <c r="D25" s="75"/>
      <c r="E25" s="75"/>
      <c r="F25" s="75"/>
    </row>
    <row r="26" customHeight="1" spans="1:6">
      <c r="A26" s="37" t="s">
        <v>58</v>
      </c>
      <c r="B26" s="3"/>
      <c r="C26" s="3"/>
      <c r="D26" s="3"/>
      <c r="E26" s="3"/>
      <c r="F26" s="3"/>
    </row>
    <row r="27" customHeight="1" spans="1:6">
      <c r="A27" s="37" t="s">
        <v>59</v>
      </c>
      <c r="B27" s="3"/>
      <c r="C27" s="3"/>
      <c r="D27" s="3"/>
      <c r="E27" s="3"/>
      <c r="F27" s="3"/>
    </row>
    <row r="28" customHeight="1" spans="1:6">
      <c r="A28" s="37" t="s">
        <v>60</v>
      </c>
      <c r="B28" s="3"/>
      <c r="C28" s="3"/>
      <c r="D28" s="3"/>
      <c r="E28" s="3"/>
      <c r="F28" s="3"/>
    </row>
  </sheetData>
  <sheetProtection formatCells="0" formatColumns="0" formatRows="0" sort="0" autoFilter="0" pivotTables="0"/>
  <mergeCells count="38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F20"/>
    <mergeCell ref="C21:D21"/>
    <mergeCell ref="C22:F22"/>
    <mergeCell ref="B23:E23"/>
    <mergeCell ref="B24:F24"/>
    <mergeCell ref="A25:F25"/>
    <mergeCell ref="B26:F26"/>
    <mergeCell ref="B27:F27"/>
    <mergeCell ref="B28:F28"/>
    <mergeCell ref="A17:A20"/>
    <mergeCell ref="A21:A22"/>
    <mergeCell ref="I2:K3"/>
    <mergeCell ref="M2:O3"/>
    <mergeCell ref="I5:K7"/>
    <mergeCell ref="M5:O7"/>
  </mergeCells>
  <dataValidations count="1">
    <dataValidation type="list" allowBlank="1" showInputMessage="1" sqref="B13:F13">
      <formula1>$S$1:$S$2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zoomScale="70" zoomScaleNormal="70" workbookViewId="0">
      <selection activeCell="L11" sqref="L11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6" width="21.8888888888889" style="4" customWidth="1"/>
    <col min="7" max="7" width="13.7777777777778" style="5" customWidth="1"/>
    <col min="8" max="9" width="19.7777777777778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/>
      <c r="B1" s="7"/>
      <c r="C1" s="7"/>
      <c r="D1" s="8"/>
      <c r="E1" s="9"/>
      <c r="F1" s="9"/>
      <c r="G1" s="10"/>
      <c r="H1" s="9"/>
      <c r="I1" s="9"/>
      <c r="J1" s="23"/>
      <c r="K1" s="23"/>
      <c r="L1" s="23"/>
      <c r="M1" s="23"/>
      <c r="N1" s="23"/>
      <c r="O1" s="24"/>
    </row>
    <row r="2" s="1" customFormat="1" ht="25.2" customHeight="1" spans="1:28">
      <c r="A2" s="11" t="s">
        <v>61</v>
      </c>
      <c r="B2" s="11" t="s">
        <v>62</v>
      </c>
      <c r="C2" s="12" t="s">
        <v>63</v>
      </c>
      <c r="D2" s="12" t="s">
        <v>15</v>
      </c>
      <c r="E2" s="13" t="s">
        <v>64</v>
      </c>
      <c r="F2" s="14"/>
      <c r="G2" s="15"/>
      <c r="H2" s="13" t="s">
        <v>65</v>
      </c>
      <c r="I2" s="15"/>
      <c r="J2" s="25" t="s">
        <v>66</v>
      </c>
      <c r="K2" s="25"/>
      <c r="L2" s="25"/>
      <c r="M2" s="25"/>
      <c r="N2" s="25"/>
      <c r="O2" s="26" t="s">
        <v>67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1" customHeight="1" spans="1:28">
      <c r="A3" s="16"/>
      <c r="B3" s="16"/>
      <c r="C3" s="17"/>
      <c r="D3" s="17"/>
      <c r="E3" s="13" t="s">
        <v>68</v>
      </c>
      <c r="F3" s="15"/>
      <c r="G3" s="18" t="s">
        <v>69</v>
      </c>
      <c r="H3" s="12" t="s">
        <v>70</v>
      </c>
      <c r="I3" s="12" t="s">
        <v>71</v>
      </c>
      <c r="J3" s="25" t="s">
        <v>72</v>
      </c>
      <c r="K3" s="27" t="s">
        <v>73</v>
      </c>
      <c r="L3" s="25" t="s">
        <v>74</v>
      </c>
      <c r="M3" s="25" t="s">
        <v>75</v>
      </c>
      <c r="N3" s="28" t="s">
        <v>76</v>
      </c>
      <c r="O3" s="26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21" customHeight="1" spans="1:28">
      <c r="A4" s="19"/>
      <c r="B4" s="19"/>
      <c r="C4" s="20"/>
      <c r="D4" s="20"/>
      <c r="E4" s="21" t="s">
        <v>77</v>
      </c>
      <c r="F4" s="21" t="s">
        <v>78</v>
      </c>
      <c r="G4" s="22"/>
      <c r="H4" s="20"/>
      <c r="I4" s="20"/>
      <c r="J4" s="25"/>
      <c r="K4" s="29"/>
      <c r="L4" s="30"/>
      <c r="M4" s="30"/>
      <c r="N4" s="31"/>
      <c r="O4" s="26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IFERROR(IF(H5="ND","ND",baoliuxiaoshuwei(((H5-基础页!$B$23)*基础页!$B$16)/C5,2)),"")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IFERROR(IF(H6="ND","ND",baoliuxiaoshuwei(((H6-基础页!$B$23)*基础页!$B$16)/C6,2)),"")</f>
        <v/>
      </c>
    </row>
    <row r="7" ht="20.25" customHeight="1" spans="1:9">
      <c r="A7" s="3"/>
      <c r="G7" s="5" t="str">
        <f t="shared" si="0"/>
        <v/>
      </c>
      <c r="I7" s="5" t="str">
        <f>IFERROR(IF(H7="ND","ND",baoliuxiaoshuwei(((H7-基础页!$B$23)*基础页!$B$16)/C7,2)),"")</f>
        <v/>
      </c>
    </row>
    <row r="8" ht="20.25" customHeight="1" spans="1:9">
      <c r="A8" s="3"/>
      <c r="G8" s="5" t="str">
        <f t="shared" si="0"/>
        <v/>
      </c>
      <c r="I8" s="5" t="str">
        <f>IFERROR(IF(H8="ND","ND",baoliuxiaoshuwei(((H8-基础页!$B$23)*基础页!$B$16)/C8,2)),"")</f>
        <v/>
      </c>
    </row>
    <row r="9" ht="20.25" customHeight="1" spans="1:9">
      <c r="A9" s="3"/>
      <c r="G9" s="5" t="str">
        <f t="shared" si="0"/>
        <v/>
      </c>
      <c r="I9" s="5" t="str">
        <f>IFERROR(IF(H9="ND","ND",baoliuxiaoshuwei(((H9-基础页!$B$23)*基础页!$B$16)/C9,2)),"")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IFERROR(IF(H10="ND","ND",baoliuxiaoshuwei(((H10-基础页!$B$23)*基础页!$B$16)/C10,2)),"")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IFERROR(IF(H11="ND","ND",baoliuxiaoshuwei(((H11-基础页!$B$23)*基础页!$B$16)/C11,2)),"")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IFERROR(IF(H12="ND","ND",baoliuxiaoshuwei(((H12-基础页!$B$23)*基础页!$B$16)/C12,2)),"")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IFERROR(IF(H13="ND","ND",baoliuxiaoshuwei(((H13-基础页!$B$23)*基础页!$B$16)/C13,2)),"")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IFERROR(IF(H14="ND","ND",baoliuxiaoshuwei(((H14-基础页!$B$23)*基础页!$B$16)/C14,2)),"")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IFERROR(IF(H15="ND","ND",baoliuxiaoshuwei(((H15-基础页!$B$23)*基础页!$B$16)/C15,2)),"")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IFERROR(IF(H16="ND","ND",baoliuxiaoshuwei(((H16-基础页!$B$23)*基础页!$B$16)/C16,2)),"")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IFERROR(IF(H17="ND","ND",baoliuxiaoshuwei(((H17-基础页!$B$23)*基础页!$B$16)/C17,2)),"")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IFERROR(IF(H18="ND","ND",baoliuxiaoshuwei(((H18-基础页!$B$23)*基础页!$B$16)/C18,2)),"")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IFERROR(IF(H19="ND","ND",baoliuxiaoshuwei(((H19-基础页!$B$23)*基础页!$B$16)/C19,2)),"")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IFERROR(IF(H20="ND","ND",baoliuxiaoshuwei(((H20-基础页!$B$23)*基础页!$B$16)/C20,2)),"")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IFERROR(IF(H21="ND","ND",baoliuxiaoshuwei(((H21-基础页!$B$23)*基础页!$B$16)/C21,2)),"")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IFERROR(IF(H22="ND","ND",baoliuxiaoshuwei(((H22-基础页!$B$23)*基础页!$B$16)/C22,2)),"")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IFERROR(IF(H23="ND","ND",baoliuxiaoshuwei(((H23-基础页!$B$23)*基础页!$B$16)/C23,2)),"")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IFERROR(IF(H24="ND","ND",baoliuxiaoshuwei(((H24-基础页!$B$23)*基础页!$B$16)/C24,2)),"")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IFERROR(IF(H25="ND","ND",baoliuxiaoshuwei(((H25-基础页!$B$23)*基础页!$B$16)/C25,2)),"")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IFERROR(IF(H26="ND","ND",baoliuxiaoshuwei(((H26-基础页!$B$23)*基础页!$B$16)/C26,2)),"")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IFERROR(IF(H27="ND","ND",baoliuxiaoshuwei(((H27-基础页!$B$23)*基础页!$B$16)/C27,2)),"")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IFERROR(IF(H28="ND","ND",baoliuxiaoshuwei(((H28-基础页!$B$23)*基础页!$B$16)/C28,2)),"")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IFERROR(IF(H29="ND","ND",baoliuxiaoshuwei(((H29-基础页!$B$23)*基础页!$B$16)/C29,2)),"")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IFERROR(IF(H30="ND","ND",baoliuxiaoshuwei(((H30-基础页!$B$23)*基础页!$B$16)/C30,2)),"")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IFERROR(IF(H31="ND","ND",baoliuxiaoshuwei(((H31-基础页!$B$23)*基础页!$B$16)/C31,2)),"")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IFERROR(IF(H32="ND","ND",baoliuxiaoshuwei(((H32-基础页!$B$23)*基础页!$B$16)/C32,2)),"")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IFERROR(IF(H33="ND","ND",baoliuxiaoshuwei(((H33-基础页!$B$23)*基础页!$B$16)/C33,2)),"")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IFERROR(IF(H34="ND","ND",baoliuxiaoshuwei(((H34-基础页!$B$23)*基础页!$B$16)/C34,2)),"")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IFERROR(IF(H35="ND","ND",baoliuxiaoshuwei(((H35-基础页!$B$23)*基础页!$B$16)/C35,2)),"")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IFERROR(IF(H36="ND","ND",baoliuxiaoshuwei(((H36-基础页!$B$23)*基础页!$B$16)/C36,2)),"")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IFERROR(IF(H37="ND","ND",baoliuxiaoshuwei(((H37-基础页!$B$23)*基础页!$B$16)/C37,2)),"")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IFERROR(IF(H38="ND","ND",baoliuxiaoshuwei(((H38-基础页!$B$23)*基础页!$B$16)/C38,2)),"")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IFERROR(IF(H39="ND","ND",baoliuxiaoshuwei(((H39-基础页!$B$23)*基础页!$B$16)/C39,2)),"")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IFERROR(IF(H40="ND","ND",baoliuxiaoshuwei(((H40-基础页!$B$23)*基础页!$B$16)/C40,2)),"")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IFERROR(IF(H41="ND","ND",baoliuxiaoshuwei(((H41-基础页!$B$23)*基础页!$B$16)/C41,2)),"")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IFERROR(IF(H42="ND","ND",baoliuxiaoshuwei(((H42-基础页!$B$23)*基础页!$B$16)/C42,2)),"")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IFERROR(IF(H43="ND","ND",baoliuxiaoshuwei(((H43-基础页!$B$23)*基础页!$B$16)/C43,2)),"")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IFERROR(IF(H44="ND","ND",baoliuxiaoshuwei(((H44-基础页!$B$23)*基础页!$B$16)/C44,2)),"")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IFERROR(IF(H45="ND","ND",baoliuxiaoshuwei(((H45-基础页!$B$23)*基础页!$B$16)/C45,2)),"")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IFERROR(IF(H46="ND","ND",baoliuxiaoshuwei(((H46-基础页!$B$23)*基础页!$B$16)/C46,2)),"")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IFERROR(IF(H47="ND","ND",baoliuxiaoshuwei(((H47-基础页!$B$23)*基础页!$B$16)/C47,2)),"")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IFERROR(IF(H48="ND","ND",baoliuxiaoshuwei(((H48-基础页!$B$23)*基础页!$B$16)/C48,2)),"")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IFERROR(IF(H49="ND","ND",baoliuxiaoshuwei(((H49-基础页!$B$23)*基础页!$B$16)/C49,2)),"")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IFERROR(IF(H50="ND","ND",baoliuxiaoshuwei(((H50-基础页!$B$23)*基础页!$B$16)/C50,2)),"")</f>
        <v/>
      </c>
    </row>
    <row r="51" ht="20.25" customHeight="1" spans="1:9">
      <c r="A51" s="3"/>
      <c r="G51" s="5" t="str">
        <f t="shared" si="0"/>
        <v/>
      </c>
      <c r="I51" s="5" t="str">
        <f>IFERROR(IF(H51="ND","ND",baoliuxiaoshuwei(((H51-基础页!$B$23)*基础页!$B$16)/C51,2)),"")</f>
        <v/>
      </c>
    </row>
    <row r="52" ht="20.25" customHeight="1" spans="1:9">
      <c r="A52" s="3"/>
      <c r="G52" s="5" t="str">
        <f t="shared" si="0"/>
        <v/>
      </c>
      <c r="I52" s="5" t="str">
        <f>IFERROR(IF(H52="ND","ND",baoliuxiaoshuwei(((H52-基础页!$B$23)*基础页!$B$16)/C52,2)),"")</f>
        <v/>
      </c>
    </row>
    <row r="53" ht="20.25" customHeight="1" spans="1:9">
      <c r="A53" s="3"/>
      <c r="G53" s="5" t="str">
        <f t="shared" si="0"/>
        <v/>
      </c>
      <c r="I53" s="5" t="str">
        <f>IFERROR(IF(H53="ND","ND",baoliuxiaoshuwei(((H53-基础页!$B$23)*基础页!$B$16)/C53,2)),"")</f>
        <v/>
      </c>
    </row>
    <row r="54" ht="20.25" customHeight="1" spans="1:9">
      <c r="A54" s="3"/>
      <c r="G54" s="5" t="str">
        <f t="shared" si="0"/>
        <v/>
      </c>
      <c r="I54" s="5" t="str">
        <f>IFERROR(IF(H54="ND","ND",baoliuxiaoshuwei(((H54-基础页!$B$23)*基础页!$B$16)/C54,2)),"")</f>
        <v/>
      </c>
    </row>
    <row r="55" ht="20.25" customHeight="1" spans="1:9">
      <c r="A55" s="3"/>
      <c r="G55" s="5" t="str">
        <f t="shared" si="0"/>
        <v/>
      </c>
      <c r="I55" s="5" t="str">
        <f>IFERROR(IF(H55="ND","ND",baoliuxiaoshuwei(((H55-基础页!$B$23)*基础页!$B$16)/C55,2)),"")</f>
        <v/>
      </c>
    </row>
    <row r="56" ht="20.25" customHeight="1" spans="1:9">
      <c r="A56" s="3"/>
      <c r="G56" s="5" t="str">
        <f t="shared" si="0"/>
        <v/>
      </c>
      <c r="I56" s="5" t="str">
        <f>IFERROR(IF(H56="ND","ND",baoliuxiaoshuwei(((H56-基础页!$B$23)*基础页!$B$16)/C56,2)),"")</f>
        <v/>
      </c>
    </row>
    <row r="57" ht="20.25" customHeight="1" spans="1:9">
      <c r="A57" s="3"/>
      <c r="G57" s="5" t="str">
        <f t="shared" si="0"/>
        <v/>
      </c>
      <c r="I57" s="5" t="str">
        <f>IFERROR(IF(H57="ND","ND",baoliuxiaoshuwei(((H57-基础页!$B$23)*基础页!$B$16)/C57,2)),"")</f>
        <v/>
      </c>
    </row>
    <row r="58" ht="20.25" customHeight="1" spans="1:9">
      <c r="A58" s="3"/>
      <c r="G58" s="5" t="str">
        <f t="shared" si="0"/>
        <v/>
      </c>
      <c r="I58" s="5" t="str">
        <f>IFERROR(IF(H58="ND","ND",baoliuxiaoshuwei(((H58-基础页!$B$23)*基础页!$B$16)/C58,2)),"")</f>
        <v/>
      </c>
    </row>
    <row r="59" ht="20.25" customHeight="1" spans="1:9">
      <c r="A59" s="3"/>
      <c r="G59" s="5" t="str">
        <f t="shared" si="0"/>
        <v/>
      </c>
      <c r="I59" s="5" t="str">
        <f>IFERROR(IF(H59="ND","ND",baoliuxiaoshuwei(((H59-基础页!$B$23)*基础页!$B$16)/C59,2)),"")</f>
        <v/>
      </c>
    </row>
    <row r="60" ht="20.25" customHeight="1" spans="1:9">
      <c r="A60" s="3"/>
      <c r="G60" s="5" t="str">
        <f t="shared" si="0"/>
        <v/>
      </c>
      <c r="I60" s="5" t="str">
        <f>IFERROR(IF(H60="ND","ND",baoliuxiaoshuwei(((H60-基础页!$B$23)*基础页!$B$16)/C60,2)),"")</f>
        <v/>
      </c>
    </row>
    <row r="61" ht="20.25" customHeight="1" spans="1:9">
      <c r="A61" s="3"/>
      <c r="G61" s="5" t="str">
        <f t="shared" si="0"/>
        <v/>
      </c>
      <c r="I61" s="5" t="str">
        <f>IFERROR(IF(H61="ND","ND",baoliuxiaoshuwei(((H61-基础页!$B$23)*基础页!$B$16)/C61,2)),"")</f>
        <v/>
      </c>
    </row>
    <row r="62" ht="20.25" customHeight="1" spans="1:9">
      <c r="A62" s="3"/>
      <c r="G62" s="5" t="str">
        <f t="shared" si="0"/>
        <v/>
      </c>
      <c r="I62" s="5" t="str">
        <f>IFERROR(IF(H62="ND","ND",baoliuxiaoshuwei(((H62-基础页!$B$23)*基础页!$B$16)/C62,2)),"")</f>
        <v/>
      </c>
    </row>
    <row r="63" ht="20.25" customHeight="1" spans="1:9">
      <c r="A63" s="3"/>
      <c r="G63" s="5" t="str">
        <f t="shared" si="0"/>
        <v/>
      </c>
      <c r="I63" s="5" t="str">
        <f>IFERROR(IF(H63="ND","ND",baoliuxiaoshuwei(((H63-基础页!$B$23)*基础页!$B$16)/C63,2)),"")</f>
        <v/>
      </c>
    </row>
    <row r="64" ht="20.25" customHeight="1" spans="1:9">
      <c r="A64" s="3"/>
      <c r="G64" s="5" t="str">
        <f t="shared" si="0"/>
        <v/>
      </c>
      <c r="I64" s="5" t="str">
        <f>IFERROR(IF(H64="ND","ND",baoliuxiaoshuwei(((H64-基础页!$B$23)*基础页!$B$16)/C64,2)),"")</f>
        <v/>
      </c>
    </row>
    <row r="65" ht="20.25" customHeight="1" spans="1:9">
      <c r="A65" s="3"/>
      <c r="G65" s="5" t="str">
        <f t="shared" si="0"/>
        <v/>
      </c>
      <c r="I65" s="5" t="str">
        <f>IFERROR(IF(H65="ND","ND",baoliuxiaoshuwei(((H65-基础页!$B$23)*基础页!$B$16)/C65,2)),"")</f>
        <v/>
      </c>
    </row>
    <row r="66" ht="20.25" customHeight="1" spans="1:9">
      <c r="A66" s="3"/>
      <c r="G66" s="5" t="str">
        <f t="shared" si="0"/>
        <v/>
      </c>
      <c r="I66" s="5" t="str">
        <f>IFERROR(IF(H66="ND","ND",baoliuxiaoshuwei(((H66-基础页!$B$23)*基础页!$B$16)/C66,2)),"")</f>
        <v/>
      </c>
    </row>
    <row r="67" ht="20.25" customHeight="1" spans="1:9">
      <c r="A67" s="3"/>
      <c r="G67" s="5" t="str">
        <f t="shared" si="0"/>
        <v/>
      </c>
      <c r="I67" s="5" t="str">
        <f>IFERROR(IF(H67="ND","ND",baoliuxiaoshuwei(((H67-基础页!$B$23)*基础页!$B$16)/C67,2)),"")</f>
        <v/>
      </c>
    </row>
    <row r="68" ht="20.25" customHeight="1" spans="1:9">
      <c r="A68" s="3"/>
      <c r="G68" s="5" t="str">
        <f t="shared" si="0"/>
        <v/>
      </c>
      <c r="I68" s="5" t="str">
        <f>IFERROR(IF(H68="ND","ND",baoliuxiaoshuwei(((H68-基础页!$B$23)*基础页!$B$16)/C68,2)),"")</f>
        <v/>
      </c>
    </row>
    <row r="69" ht="20.25" customHeight="1" spans="1:9">
      <c r="A69" s="3"/>
      <c r="G69" s="5" t="str">
        <f t="shared" si="0"/>
        <v/>
      </c>
      <c r="I69" s="5" t="str">
        <f>IFERROR(IF(H69="ND","ND",baoliuxiaoshuwei(((H69-基础页!$B$23)*基础页!$B$16)/C69,2)),"")</f>
        <v/>
      </c>
    </row>
    <row r="70" ht="20.25" customHeight="1" spans="1:9">
      <c r="A70" s="3"/>
      <c r="G70" s="5" t="str">
        <f t="shared" ref="G70:G133" si="1">IFERROR(IF(ISBLANK(H70),"",IF(I70="ND","否","是")),"")</f>
        <v/>
      </c>
      <c r="I70" s="5" t="str">
        <f>IFERROR(IF(H70="ND","ND",baoliuxiaoshuwei(((H70-基础页!$B$23)*基础页!$B$16)/C70,2)),"")</f>
        <v/>
      </c>
    </row>
    <row r="71" ht="20.25" customHeight="1" spans="1:9">
      <c r="A71" s="3"/>
      <c r="G71" s="5" t="str">
        <f t="shared" si="1"/>
        <v/>
      </c>
      <c r="I71" s="5" t="str">
        <f>IFERROR(IF(H71="ND","ND",baoliuxiaoshuwei(((H71-基础页!$B$23)*基础页!$B$16)/C71,2)),"")</f>
        <v/>
      </c>
    </row>
    <row r="72" ht="20.25" customHeight="1" spans="1:9">
      <c r="A72" s="3"/>
      <c r="G72" s="5" t="str">
        <f t="shared" si="1"/>
        <v/>
      </c>
      <c r="I72" s="5" t="str">
        <f>IFERROR(IF(H72="ND","ND",baoliuxiaoshuwei(((H72-基础页!$B$23)*基础页!$B$16)/C72,2)),"")</f>
        <v/>
      </c>
    </row>
    <row r="73" ht="20.25" customHeight="1" spans="1:9">
      <c r="A73" s="3"/>
      <c r="G73" s="5" t="str">
        <f t="shared" si="1"/>
        <v/>
      </c>
      <c r="I73" s="5" t="str">
        <f>IFERROR(IF(H73="ND","ND",baoliuxiaoshuwei(((H73-基础页!$B$23)*基础页!$B$16)/C73,2)),"")</f>
        <v/>
      </c>
    </row>
    <row r="74" ht="20.25" customHeight="1" spans="1:9">
      <c r="A74" s="3"/>
      <c r="G74" s="5" t="str">
        <f t="shared" si="1"/>
        <v/>
      </c>
      <c r="I74" s="5" t="str">
        <f>IFERROR(IF(H74="ND","ND",baoliuxiaoshuwei(((H74-基础页!$B$23)*基础页!$B$16)/C74,2)),"")</f>
        <v/>
      </c>
    </row>
    <row r="75" ht="20.25" customHeight="1" spans="1:9">
      <c r="A75" s="3"/>
      <c r="G75" s="5" t="str">
        <f t="shared" si="1"/>
        <v/>
      </c>
      <c r="I75" s="5" t="str">
        <f>IFERROR(IF(H75="ND","ND",baoliuxiaoshuwei(((H75-基础页!$B$23)*基础页!$B$16)/C75,2)),"")</f>
        <v/>
      </c>
    </row>
    <row r="76" ht="20.25" customHeight="1" spans="1:9">
      <c r="A76" s="3"/>
      <c r="G76" s="5" t="str">
        <f t="shared" si="1"/>
        <v/>
      </c>
      <c r="I76" s="5" t="str">
        <f>IFERROR(IF(H76="ND","ND",baoliuxiaoshuwei(((H76-基础页!$B$23)*基础页!$B$16)/C76,2)),"")</f>
        <v/>
      </c>
    </row>
    <row r="77" ht="20.25" customHeight="1" spans="1:9">
      <c r="A77" s="3"/>
      <c r="G77" s="5" t="str">
        <f t="shared" si="1"/>
        <v/>
      </c>
      <c r="I77" s="5" t="str">
        <f>IFERROR(IF(H77="ND","ND",baoliuxiaoshuwei(((H77-基础页!$B$23)*基础页!$B$16)/C77,2)),"")</f>
        <v/>
      </c>
    </row>
    <row r="78" ht="20.25" customHeight="1" spans="1:9">
      <c r="A78" s="3"/>
      <c r="G78" s="5" t="str">
        <f t="shared" si="1"/>
        <v/>
      </c>
      <c r="I78" s="5" t="str">
        <f>IFERROR(IF(H78="ND","ND",baoliuxiaoshuwei(((H78-基础页!$B$23)*基础页!$B$16)/C78,2)),"")</f>
        <v/>
      </c>
    </row>
    <row r="79" ht="20.25" customHeight="1" spans="1:9">
      <c r="A79" s="3"/>
      <c r="G79" s="5" t="str">
        <f t="shared" si="1"/>
        <v/>
      </c>
      <c r="I79" s="5" t="str">
        <f>IFERROR(IF(H79="ND","ND",baoliuxiaoshuwei(((H79-基础页!$B$23)*基础页!$B$16)/C79,2)),"")</f>
        <v/>
      </c>
    </row>
    <row r="80" ht="20.25" customHeight="1" spans="1:9">
      <c r="A80" s="3"/>
      <c r="G80" s="5" t="str">
        <f t="shared" si="1"/>
        <v/>
      </c>
      <c r="I80" s="5" t="str">
        <f>IFERROR(IF(H80="ND","ND",baoliuxiaoshuwei(((H80-基础页!$B$23)*基础页!$B$16)/C80,2)),"")</f>
        <v/>
      </c>
    </row>
    <row r="81" ht="20.25" customHeight="1" spans="1:9">
      <c r="A81" s="3"/>
      <c r="G81" s="5" t="str">
        <f t="shared" si="1"/>
        <v/>
      </c>
      <c r="I81" s="5" t="str">
        <f>IFERROR(IF(H81="ND","ND",baoliuxiaoshuwei(((H81-基础页!$B$23)*基础页!$B$16)/C81,2)),"")</f>
        <v/>
      </c>
    </row>
    <row r="82" ht="20.25" customHeight="1" spans="1:9">
      <c r="A82" s="3"/>
      <c r="G82" s="5" t="str">
        <f t="shared" si="1"/>
        <v/>
      </c>
      <c r="I82" s="5" t="str">
        <f>IFERROR(IF(H82="ND","ND",baoliuxiaoshuwei(((H82-基础页!$B$23)*基础页!$B$16)/C82,2)),"")</f>
        <v/>
      </c>
    </row>
    <row r="83" ht="20.25" customHeight="1" spans="1:9">
      <c r="A83" s="3"/>
      <c r="G83" s="5" t="str">
        <f t="shared" si="1"/>
        <v/>
      </c>
      <c r="I83" s="5" t="str">
        <f>IFERROR(IF(H83="ND","ND",baoliuxiaoshuwei(((H83-基础页!$B$23)*基础页!$B$16)/C83,2)),"")</f>
        <v/>
      </c>
    </row>
    <row r="84" ht="20.25" customHeight="1" spans="1:9">
      <c r="A84" s="3"/>
      <c r="G84" s="5" t="str">
        <f t="shared" si="1"/>
        <v/>
      </c>
      <c r="I84" s="5" t="str">
        <f>IFERROR(IF(H84="ND","ND",baoliuxiaoshuwei(((H84-基础页!$B$23)*基础页!$B$16)/C84,2)),"")</f>
        <v/>
      </c>
    </row>
    <row r="85" ht="20.25" customHeight="1" spans="1:9">
      <c r="A85" s="3"/>
      <c r="G85" s="5" t="str">
        <f t="shared" si="1"/>
        <v/>
      </c>
      <c r="I85" s="5" t="str">
        <f>IFERROR(IF(H85="ND","ND",baoliuxiaoshuwei(((H85-基础页!$B$23)*基础页!$B$16)/C85,2)),"")</f>
        <v/>
      </c>
    </row>
    <row r="86" ht="20.25" customHeight="1" spans="1:9">
      <c r="A86" s="3"/>
      <c r="G86" s="5" t="str">
        <f t="shared" si="1"/>
        <v/>
      </c>
      <c r="I86" s="5" t="str">
        <f>IFERROR(IF(H86="ND","ND",baoliuxiaoshuwei(((H86-基础页!$B$23)*基础页!$B$16)/C86,2)),"")</f>
        <v/>
      </c>
    </row>
    <row r="87" ht="20.25" customHeight="1" spans="1:9">
      <c r="A87" s="3"/>
      <c r="G87" s="5" t="str">
        <f t="shared" si="1"/>
        <v/>
      </c>
      <c r="I87" s="5" t="str">
        <f>IFERROR(IF(H87="ND","ND",baoliuxiaoshuwei(((H87-基础页!$B$23)*基础页!$B$16)/C87,2)),"")</f>
        <v/>
      </c>
    </row>
    <row r="88" ht="20.25" customHeight="1" spans="1:9">
      <c r="A88" s="3"/>
      <c r="G88" s="5" t="str">
        <f t="shared" si="1"/>
        <v/>
      </c>
      <c r="I88" s="5" t="str">
        <f>IFERROR(IF(H88="ND","ND",baoliuxiaoshuwei(((H88-基础页!$B$23)*基础页!$B$16)/C88,2)),"")</f>
        <v/>
      </c>
    </row>
    <row r="89" ht="20.25" customHeight="1" spans="1:9">
      <c r="A89" s="3"/>
      <c r="G89" s="5" t="str">
        <f t="shared" si="1"/>
        <v/>
      </c>
      <c r="I89" s="5" t="str">
        <f>IFERROR(IF(H89="ND","ND",baoliuxiaoshuwei(((H89-基础页!$B$23)*基础页!$B$16)/C89,2)),"")</f>
        <v/>
      </c>
    </row>
    <row r="90" ht="20.25" customHeight="1" spans="1:9">
      <c r="A90" s="3"/>
      <c r="G90" s="5" t="str">
        <f t="shared" si="1"/>
        <v/>
      </c>
      <c r="I90" s="5" t="str">
        <f>IFERROR(IF(H90="ND","ND",baoliuxiaoshuwei(((H90-基础页!$B$23)*基础页!$B$16)/C90,2)),"")</f>
        <v/>
      </c>
    </row>
    <row r="91" ht="20.25" customHeight="1" spans="1:9">
      <c r="A91" s="3"/>
      <c r="G91" s="5" t="str">
        <f t="shared" si="1"/>
        <v/>
      </c>
      <c r="I91" s="5" t="str">
        <f>IFERROR(IF(H91="ND","ND",baoliuxiaoshuwei(((H91-基础页!$B$23)*基础页!$B$16)/C91,2)),"")</f>
        <v/>
      </c>
    </row>
    <row r="92" ht="20.25" customHeight="1" spans="1:9">
      <c r="A92" s="3"/>
      <c r="G92" s="5" t="str">
        <f t="shared" si="1"/>
        <v/>
      </c>
      <c r="I92" s="5" t="str">
        <f>IFERROR(IF(H92="ND","ND",baoliuxiaoshuwei(((H92-基础页!$B$23)*基础页!$B$16)/C92,2)),"")</f>
        <v/>
      </c>
    </row>
    <row r="93" ht="20.25" customHeight="1" spans="1:9">
      <c r="A93" s="3"/>
      <c r="G93" s="5" t="str">
        <f t="shared" si="1"/>
        <v/>
      </c>
      <c r="I93" s="5" t="str">
        <f>IFERROR(IF(H93="ND","ND",baoliuxiaoshuwei(((H93-基础页!$B$23)*基础页!$B$16)/C93,2)),"")</f>
        <v/>
      </c>
    </row>
    <row r="94" ht="20.25" customHeight="1" spans="1:9">
      <c r="A94" s="3"/>
      <c r="G94" s="5" t="str">
        <f t="shared" si="1"/>
        <v/>
      </c>
      <c r="I94" s="5" t="str">
        <f>IFERROR(IF(H94="ND","ND",baoliuxiaoshuwei(((H94-基础页!$B$23)*基础页!$B$16)/C94,2)),"")</f>
        <v/>
      </c>
    </row>
    <row r="95" ht="20.25" customHeight="1" spans="1:9">
      <c r="A95" s="3"/>
      <c r="G95" s="5" t="str">
        <f t="shared" si="1"/>
        <v/>
      </c>
      <c r="I95" s="5" t="str">
        <f>IFERROR(IF(H95="ND","ND",baoliuxiaoshuwei(((H95-基础页!$B$23)*基础页!$B$16)/C95,2)),"")</f>
        <v/>
      </c>
    </row>
    <row r="96" ht="20.25" customHeight="1" spans="1:9">
      <c r="A96" s="3"/>
      <c r="G96" s="5" t="str">
        <f t="shared" si="1"/>
        <v/>
      </c>
      <c r="I96" s="5" t="str">
        <f>IFERROR(IF(H96="ND","ND",baoliuxiaoshuwei(((H96-基础页!$B$23)*基础页!$B$16)/C96,2)),"")</f>
        <v/>
      </c>
    </row>
    <row r="97" ht="20.25" customHeight="1" spans="1:9">
      <c r="A97" s="3"/>
      <c r="G97" s="5" t="str">
        <f t="shared" si="1"/>
        <v/>
      </c>
      <c r="I97" s="5" t="str">
        <f>IFERROR(IF(H97="ND","ND",baoliuxiaoshuwei(((H97-基础页!$B$23)*基础页!$B$16)/C97,2)),"")</f>
        <v/>
      </c>
    </row>
    <row r="98" ht="20.25" customHeight="1" spans="1:9">
      <c r="A98" s="3"/>
      <c r="G98" s="5" t="str">
        <f t="shared" si="1"/>
        <v/>
      </c>
      <c r="I98" s="5" t="str">
        <f>IFERROR(IF(H98="ND","ND",baoliuxiaoshuwei(((H98-基础页!$B$23)*基础页!$B$16)/C98,2)),"")</f>
        <v/>
      </c>
    </row>
    <row r="99" ht="20.25" customHeight="1" spans="1:9">
      <c r="A99" s="3"/>
      <c r="G99" s="5" t="str">
        <f t="shared" si="1"/>
        <v/>
      </c>
      <c r="I99" s="5" t="str">
        <f>IFERROR(IF(H99="ND","ND",baoliuxiaoshuwei(((H99-基础页!$B$23)*基础页!$B$16)/C99,2)),"")</f>
        <v/>
      </c>
    </row>
    <row r="100" ht="20.25" customHeight="1" spans="1:9">
      <c r="A100" s="3"/>
      <c r="G100" s="5" t="str">
        <f t="shared" si="1"/>
        <v/>
      </c>
      <c r="I100" s="5" t="str">
        <f>IFERROR(IF(H100="ND","ND",baoliuxiaoshuwei(((H100-基础页!$B$23)*基础页!$B$16)/C100,2)),"")</f>
        <v/>
      </c>
    </row>
    <row r="101" ht="20.25" customHeight="1" spans="1:9">
      <c r="A101" s="3"/>
      <c r="G101" s="5" t="str">
        <f t="shared" si="1"/>
        <v/>
      </c>
      <c r="I101" s="5" t="str">
        <f>IFERROR(IF(H101="ND","ND",baoliuxiaoshuwei(((H101-基础页!$B$23)*基础页!$B$16)/C101,2)),"")</f>
        <v/>
      </c>
    </row>
    <row r="102" ht="20.25" customHeight="1" spans="1:9">
      <c r="A102" s="3"/>
      <c r="G102" s="5" t="str">
        <f t="shared" si="1"/>
        <v/>
      </c>
      <c r="I102" s="5" t="str">
        <f>IFERROR(IF(H102="ND","ND",baoliuxiaoshuwei(((H102-基础页!$B$23)*基础页!$B$16)/C102,2)),"")</f>
        <v/>
      </c>
    </row>
    <row r="103" ht="20.25" customHeight="1" spans="1:9">
      <c r="A103" s="3"/>
      <c r="G103" s="5" t="str">
        <f t="shared" si="1"/>
        <v/>
      </c>
      <c r="I103" s="5" t="str">
        <f>IFERROR(IF(H103="ND","ND",baoliuxiaoshuwei(((H103-基础页!$B$23)*基础页!$B$16)/C103,2)),"")</f>
        <v/>
      </c>
    </row>
    <row r="104" ht="20.25" customHeight="1" spans="1:9">
      <c r="A104" s="3"/>
      <c r="G104" s="5" t="str">
        <f t="shared" si="1"/>
        <v/>
      </c>
      <c r="I104" s="5" t="str">
        <f>IFERROR(IF(H104="ND","ND",baoliuxiaoshuwei(((H104-基础页!$B$23)*基础页!$B$16)/C104,2)),"")</f>
        <v/>
      </c>
    </row>
    <row r="105" ht="20.25" customHeight="1" spans="1:9">
      <c r="A105" s="3"/>
      <c r="G105" s="5" t="str">
        <f t="shared" si="1"/>
        <v/>
      </c>
      <c r="I105" s="5" t="str">
        <f>IFERROR(IF(H105="ND","ND",baoliuxiaoshuwei(((H105-基础页!$B$23)*基础页!$B$16)/C105,2)),"")</f>
        <v/>
      </c>
    </row>
    <row r="106" ht="20.25" customHeight="1" spans="1:9">
      <c r="A106" s="3"/>
      <c r="G106" s="5" t="str">
        <f t="shared" si="1"/>
        <v/>
      </c>
      <c r="I106" s="5" t="str">
        <f>IFERROR(IF(H106="ND","ND",baoliuxiaoshuwei(((H106-基础页!$B$23)*基础页!$B$16)/C106,2)),"")</f>
        <v/>
      </c>
    </row>
    <row r="107" ht="20.25" customHeight="1" spans="1:9">
      <c r="A107" s="3"/>
      <c r="G107" s="5" t="str">
        <f t="shared" si="1"/>
        <v/>
      </c>
      <c r="I107" s="5" t="str">
        <f>IFERROR(IF(H107="ND","ND",baoliuxiaoshuwei(((H107-基础页!$B$23)*基础页!$B$16)/C107,2)),"")</f>
        <v/>
      </c>
    </row>
    <row r="108" ht="20.25" customHeight="1" spans="1:9">
      <c r="A108" s="3"/>
      <c r="G108" s="5" t="str">
        <f t="shared" si="1"/>
        <v/>
      </c>
      <c r="I108" s="5" t="str">
        <f>IFERROR(IF(H108="ND","ND",baoliuxiaoshuwei(((H108-基础页!$B$23)*基础页!$B$16)/C108,2)),"")</f>
        <v/>
      </c>
    </row>
    <row r="109" ht="20.25" customHeight="1" spans="1:9">
      <c r="A109" s="3"/>
      <c r="G109" s="5" t="str">
        <f t="shared" si="1"/>
        <v/>
      </c>
      <c r="I109" s="5" t="str">
        <f>IFERROR(IF(H109="ND","ND",baoliuxiaoshuwei(((H109-基础页!$B$23)*基础页!$B$16)/C109,2)),"")</f>
        <v/>
      </c>
    </row>
    <row r="110" ht="20.25" customHeight="1" spans="1:9">
      <c r="A110" s="3"/>
      <c r="G110" s="5" t="str">
        <f t="shared" si="1"/>
        <v/>
      </c>
      <c r="I110" s="5" t="str">
        <f>IFERROR(IF(H110="ND","ND",baoliuxiaoshuwei(((H110-基础页!$B$23)*基础页!$B$16)/C110,2)),"")</f>
        <v/>
      </c>
    </row>
    <row r="111" ht="20.25" customHeight="1" spans="1:9">
      <c r="A111" s="3"/>
      <c r="G111" s="5" t="str">
        <f t="shared" si="1"/>
        <v/>
      </c>
      <c r="I111" s="5" t="str">
        <f>IFERROR(IF(H111="ND","ND",baoliuxiaoshuwei(((H111-基础页!$B$23)*基础页!$B$16)/C111,2)),"")</f>
        <v/>
      </c>
    </row>
    <row r="112" ht="20.25" customHeight="1" spans="1:9">
      <c r="A112" s="3"/>
      <c r="G112" s="5" t="str">
        <f t="shared" si="1"/>
        <v/>
      </c>
      <c r="I112" s="5" t="str">
        <f>IFERROR(IF(H112="ND","ND",baoliuxiaoshuwei(((H112-基础页!$B$23)*基础页!$B$16)/C112,2)),"")</f>
        <v/>
      </c>
    </row>
    <row r="113" ht="20.25" customHeight="1" spans="1:9">
      <c r="A113" s="3"/>
      <c r="G113" s="5" t="str">
        <f t="shared" si="1"/>
        <v/>
      </c>
      <c r="I113" s="5" t="str">
        <f>IFERROR(IF(H113="ND","ND",baoliuxiaoshuwei(((H113-基础页!$B$23)*基础页!$B$16)/C113,2)),"")</f>
        <v/>
      </c>
    </row>
    <row r="114" ht="20.25" customHeight="1" spans="1:9">
      <c r="A114" s="3"/>
      <c r="G114" s="5" t="str">
        <f t="shared" si="1"/>
        <v/>
      </c>
      <c r="I114" s="5" t="str">
        <f>IFERROR(IF(H114="ND","ND",baoliuxiaoshuwei(((H114-基础页!$B$23)*基础页!$B$16)/C114,2)),"")</f>
        <v/>
      </c>
    </row>
    <row r="115" ht="20.25" customHeight="1" spans="1:9">
      <c r="A115" s="3"/>
      <c r="G115" s="5" t="str">
        <f t="shared" si="1"/>
        <v/>
      </c>
      <c r="I115" s="5" t="str">
        <f>IFERROR(IF(H115="ND","ND",baoliuxiaoshuwei(((H115-基础页!$B$23)*基础页!$B$16)/C115,2)),"")</f>
        <v/>
      </c>
    </row>
    <row r="116" ht="20.25" customHeight="1" spans="1:9">
      <c r="A116" s="3"/>
      <c r="G116" s="5" t="str">
        <f t="shared" si="1"/>
        <v/>
      </c>
      <c r="I116" s="5" t="str">
        <f>IFERROR(IF(H116="ND","ND",baoliuxiaoshuwei(((H116-基础页!$B$23)*基础页!$B$16)/C116,2)),"")</f>
        <v/>
      </c>
    </row>
    <row r="117" ht="20.25" customHeight="1" spans="1:9">
      <c r="A117" s="3"/>
      <c r="G117" s="5" t="str">
        <f t="shared" si="1"/>
        <v/>
      </c>
      <c r="I117" s="5" t="str">
        <f>IFERROR(IF(H117="ND","ND",baoliuxiaoshuwei(((H117-基础页!$B$23)*基础页!$B$16)/C117,2)),"")</f>
        <v/>
      </c>
    </row>
    <row r="118" ht="20.25" customHeight="1" spans="1:9">
      <c r="A118" s="3"/>
      <c r="G118" s="5" t="str">
        <f t="shared" si="1"/>
        <v/>
      </c>
      <c r="I118" s="5" t="str">
        <f>IFERROR(IF(H118="ND","ND",baoliuxiaoshuwei(((H118-基础页!$B$23)*基础页!$B$16)/C118,2)),"")</f>
        <v/>
      </c>
    </row>
    <row r="119" ht="20.25" customHeight="1" spans="1:9">
      <c r="A119" s="3"/>
      <c r="G119" s="5" t="str">
        <f t="shared" si="1"/>
        <v/>
      </c>
      <c r="I119" s="5" t="str">
        <f>IFERROR(IF(H119="ND","ND",baoliuxiaoshuwei(((H119-基础页!$B$23)*基础页!$B$16)/C119,2)),"")</f>
        <v/>
      </c>
    </row>
    <row r="120" ht="20.25" customHeight="1" spans="1:9">
      <c r="A120" s="3"/>
      <c r="G120" s="5" t="str">
        <f t="shared" si="1"/>
        <v/>
      </c>
      <c r="I120" s="5" t="str">
        <f>IFERROR(IF(H120="ND","ND",baoliuxiaoshuwei(((H120-基础页!$B$23)*基础页!$B$16)/C120,2)),"")</f>
        <v/>
      </c>
    </row>
    <row r="121" ht="20.25" customHeight="1" spans="1:9">
      <c r="A121" s="3"/>
      <c r="G121" s="5" t="str">
        <f t="shared" si="1"/>
        <v/>
      </c>
      <c r="I121" s="5" t="str">
        <f>IFERROR(IF(H121="ND","ND",baoliuxiaoshuwei(((H121-基础页!$B$23)*基础页!$B$16)/C121,2)),"")</f>
        <v/>
      </c>
    </row>
    <row r="122" ht="20.25" customHeight="1" spans="1:9">
      <c r="A122" s="3"/>
      <c r="G122" s="5" t="str">
        <f t="shared" si="1"/>
        <v/>
      </c>
      <c r="I122" s="5" t="str">
        <f>IFERROR(IF(H122="ND","ND",baoliuxiaoshuwei(((H122-基础页!$B$23)*基础页!$B$16)/C122,2)),"")</f>
        <v/>
      </c>
    </row>
    <row r="123" ht="20.25" customHeight="1" spans="1:9">
      <c r="A123" s="3"/>
      <c r="G123" s="5" t="str">
        <f t="shared" si="1"/>
        <v/>
      </c>
      <c r="I123" s="5" t="str">
        <f>IFERROR(IF(H123="ND","ND",baoliuxiaoshuwei(((H123-基础页!$B$23)*基础页!$B$16)/C123,2)),"")</f>
        <v/>
      </c>
    </row>
    <row r="124" ht="20.25" customHeight="1" spans="1:9">
      <c r="A124" s="3"/>
      <c r="G124" s="5" t="str">
        <f t="shared" si="1"/>
        <v/>
      </c>
      <c r="I124" s="5" t="str">
        <f>IFERROR(IF(H124="ND","ND",baoliuxiaoshuwei(((H124-基础页!$B$23)*基础页!$B$16)/C124,2)),"")</f>
        <v/>
      </c>
    </row>
    <row r="125" ht="20.25" customHeight="1" spans="1:9">
      <c r="A125" s="3"/>
      <c r="G125" s="5" t="str">
        <f t="shared" si="1"/>
        <v/>
      </c>
      <c r="I125" s="5" t="str">
        <f>IFERROR(IF(H125="ND","ND",baoliuxiaoshuwei(((H125-基础页!$B$23)*基础页!$B$16)/C125,2)),"")</f>
        <v/>
      </c>
    </row>
    <row r="126" ht="20.25" customHeight="1" spans="1:9">
      <c r="A126" s="3"/>
      <c r="G126" s="5" t="str">
        <f t="shared" si="1"/>
        <v/>
      </c>
      <c r="I126" s="5" t="str">
        <f>IFERROR(IF(H126="ND","ND",baoliuxiaoshuwei(((H126-基础页!$B$23)*基础页!$B$16)/C126,2)),"")</f>
        <v/>
      </c>
    </row>
    <row r="127" ht="20.25" customHeight="1" spans="1:9">
      <c r="A127" s="3"/>
      <c r="G127" s="5" t="str">
        <f t="shared" si="1"/>
        <v/>
      </c>
      <c r="I127" s="5" t="str">
        <f>IFERROR(IF(H127="ND","ND",baoliuxiaoshuwei(((H127-基础页!$B$23)*基础页!$B$16)/C127,2)),"")</f>
        <v/>
      </c>
    </row>
    <row r="128" ht="20.25" customHeight="1" spans="1:9">
      <c r="A128" s="3"/>
      <c r="G128" s="5" t="str">
        <f t="shared" si="1"/>
        <v/>
      </c>
      <c r="I128" s="5" t="str">
        <f>IFERROR(IF(H128="ND","ND",baoliuxiaoshuwei(((H128-基础页!$B$23)*基础页!$B$16)/C128,2)),"")</f>
        <v/>
      </c>
    </row>
    <row r="129" ht="20.25" customHeight="1" spans="1:9">
      <c r="A129" s="3"/>
      <c r="G129" s="5" t="str">
        <f t="shared" si="1"/>
        <v/>
      </c>
      <c r="I129" s="5" t="str">
        <f>IFERROR(IF(H129="ND","ND",baoliuxiaoshuwei(((H129-基础页!$B$23)*基础页!$B$16)/C129,2)),"")</f>
        <v/>
      </c>
    </row>
    <row r="130" ht="20.25" customHeight="1" spans="1:9">
      <c r="A130" s="3"/>
      <c r="G130" s="5" t="str">
        <f t="shared" si="1"/>
        <v/>
      </c>
      <c r="I130" s="5" t="str">
        <f>IFERROR(IF(H130="ND","ND",baoliuxiaoshuwei(((H130-基础页!$B$23)*基础页!$B$16)/C130,2)),"")</f>
        <v/>
      </c>
    </row>
    <row r="131" ht="20.25" customHeight="1" spans="1:9">
      <c r="A131" s="3"/>
      <c r="G131" s="5" t="str">
        <f t="shared" si="1"/>
        <v/>
      </c>
      <c r="I131" s="5" t="str">
        <f>IFERROR(IF(H131="ND","ND",baoliuxiaoshuwei(((H131-基础页!$B$23)*基础页!$B$16)/C131,2)),"")</f>
        <v/>
      </c>
    </row>
    <row r="132" ht="20.25" customHeight="1" spans="1:9">
      <c r="A132" s="3"/>
      <c r="G132" s="5" t="str">
        <f t="shared" si="1"/>
        <v/>
      </c>
      <c r="I132" s="5" t="str">
        <f>IFERROR(IF(H132="ND","ND",baoliuxiaoshuwei(((H132-基础页!$B$23)*基础页!$B$16)/C132,2)),"")</f>
        <v/>
      </c>
    </row>
    <row r="133" ht="20.25" customHeight="1" spans="1:9">
      <c r="A133" s="3"/>
      <c r="G133" s="5" t="str">
        <f t="shared" si="1"/>
        <v/>
      </c>
      <c r="I133" s="5" t="str">
        <f>IFERROR(IF(H133="ND","ND",baoliuxiaoshuwei(((H133-基础页!$B$23)*基础页!$B$16)/C133,2)),"")</f>
        <v/>
      </c>
    </row>
    <row r="134" ht="20.25" customHeight="1" spans="1:9">
      <c r="A134" s="3"/>
      <c r="G134" s="5" t="str">
        <f t="shared" ref="G134:G149" si="2">IFERROR(IF(ISBLANK(H134),"",IF(I134="ND","否","是")),"")</f>
        <v/>
      </c>
      <c r="I134" s="5" t="str">
        <f>IFERROR(IF(H134="ND","ND",baoliuxiaoshuwei(((H134-基础页!$B$23)*基础页!$B$16)/C134,2)),"")</f>
        <v/>
      </c>
    </row>
    <row r="135" ht="20.25" customHeight="1" spans="1:9">
      <c r="A135" s="3"/>
      <c r="G135" s="5" t="str">
        <f t="shared" si="2"/>
        <v/>
      </c>
      <c r="I135" s="5" t="str">
        <f>IFERROR(IF(H135="ND","ND",baoliuxiaoshuwei(((H135-基础页!$B$23)*基础页!$B$16)/C135,2)),"")</f>
        <v/>
      </c>
    </row>
    <row r="136" ht="20.25" customHeight="1" spans="1:9">
      <c r="A136" s="3"/>
      <c r="G136" s="5" t="str">
        <f t="shared" si="2"/>
        <v/>
      </c>
      <c r="I136" s="5" t="str">
        <f>IFERROR(IF(H136="ND","ND",baoliuxiaoshuwei(((H136-基础页!$B$23)*基础页!$B$16)/C136,2)),"")</f>
        <v/>
      </c>
    </row>
    <row r="137" ht="20.25" customHeight="1" spans="1:9">
      <c r="A137" s="3"/>
      <c r="G137" s="5" t="str">
        <f t="shared" si="2"/>
        <v/>
      </c>
      <c r="I137" s="5" t="str">
        <f>IFERROR(IF(H137="ND","ND",baoliuxiaoshuwei(((H137-基础页!$B$23)*基础页!$B$16)/C137,2)),"")</f>
        <v/>
      </c>
    </row>
    <row r="138" ht="20.25" customHeight="1" spans="1:9">
      <c r="A138" s="3"/>
      <c r="G138" s="5" t="str">
        <f t="shared" si="2"/>
        <v/>
      </c>
      <c r="I138" s="5" t="str">
        <f>IFERROR(IF(H138="ND","ND",baoliuxiaoshuwei(((H138-基础页!$B$23)*基础页!$B$16)/C138,2)),"")</f>
        <v/>
      </c>
    </row>
    <row r="139" ht="20.25" customHeight="1" spans="1:9">
      <c r="A139" s="3"/>
      <c r="G139" s="5" t="str">
        <f t="shared" si="2"/>
        <v/>
      </c>
      <c r="I139" s="5" t="str">
        <f>IFERROR(IF(H139="ND","ND",baoliuxiaoshuwei(((H139-基础页!$B$23)*基础页!$B$16)/C139,2)),"")</f>
        <v/>
      </c>
    </row>
    <row r="140" ht="20.25" customHeight="1" spans="1:9">
      <c r="A140" s="3"/>
      <c r="G140" s="5" t="str">
        <f t="shared" si="2"/>
        <v/>
      </c>
      <c r="I140" s="5" t="str">
        <f>IFERROR(IF(H140="ND","ND",baoliuxiaoshuwei(((H140-基础页!$B$23)*基础页!$B$16)/C140,2)),"")</f>
        <v/>
      </c>
    </row>
    <row r="141" ht="20.25" customHeight="1" spans="1:9">
      <c r="A141" s="3"/>
      <c r="G141" s="5" t="str">
        <f t="shared" si="2"/>
        <v/>
      </c>
      <c r="I141" s="5" t="str">
        <f>IFERROR(IF(H141="ND","ND",baoliuxiaoshuwei(((H141-基础页!$B$23)*基础页!$B$16)/C141,2)),"")</f>
        <v/>
      </c>
    </row>
    <row r="142" ht="20.25" customHeight="1" spans="1:9">
      <c r="A142" s="3"/>
      <c r="G142" s="5" t="str">
        <f t="shared" si="2"/>
        <v/>
      </c>
      <c r="I142" s="5" t="str">
        <f>IFERROR(IF(H142="ND","ND",baoliuxiaoshuwei(((H142-基础页!$B$23)*基础页!$B$16)/C142,2)),"")</f>
        <v/>
      </c>
    </row>
    <row r="143" ht="20.25" customHeight="1" spans="1:9">
      <c r="A143" s="3"/>
      <c r="G143" s="5" t="str">
        <f t="shared" si="2"/>
        <v/>
      </c>
      <c r="I143" s="5" t="str">
        <f>IFERROR(IF(H143="ND","ND",baoliuxiaoshuwei(((H143-基础页!$B$23)*基础页!$B$16)/C143,2)),"")</f>
        <v/>
      </c>
    </row>
    <row r="144" ht="20.25" customHeight="1" spans="1:9">
      <c r="A144" s="3"/>
      <c r="G144" s="5" t="str">
        <f t="shared" si="2"/>
        <v/>
      </c>
      <c r="I144" s="5" t="str">
        <f>IFERROR(IF(H144="ND","ND",baoliuxiaoshuwei(((H144-基础页!$B$23)*基础页!$B$16)/C144,2)),"")</f>
        <v/>
      </c>
    </row>
    <row r="145" ht="20.25" customHeight="1" spans="1:9">
      <c r="A145" s="3"/>
      <c r="G145" s="5" t="str">
        <f t="shared" si="2"/>
        <v/>
      </c>
      <c r="I145" s="5" t="str">
        <f>IFERROR(IF(H145="ND","ND",baoliuxiaoshuwei(((H145-基础页!$B$23)*基础页!$B$16)/C145,2)),"")</f>
        <v/>
      </c>
    </row>
    <row r="146" ht="20.25" customHeight="1" spans="1:9">
      <c r="A146" s="3"/>
      <c r="G146" s="5" t="str">
        <f t="shared" si="2"/>
        <v/>
      </c>
      <c r="I146" s="5" t="str">
        <f>IFERROR(IF(H146="ND","ND",baoliuxiaoshuwei(((H146-基础页!$B$23)*基础页!$B$16)/C146,2)),"")</f>
        <v/>
      </c>
    </row>
    <row r="147" ht="20.25" customHeight="1" spans="1:9">
      <c r="A147" s="3"/>
      <c r="G147" s="5" t="str">
        <f t="shared" si="2"/>
        <v/>
      </c>
      <c r="I147" s="5" t="str">
        <f>IFERROR(IF(H147="ND","ND",baoliuxiaoshuwei(((H147-基础页!$B$23)*基础页!$B$16)/C147,2)),"")</f>
        <v/>
      </c>
    </row>
    <row r="148" ht="20.25" customHeight="1" spans="1:9">
      <c r="A148" s="3"/>
      <c r="G148" s="5" t="str">
        <f t="shared" si="2"/>
        <v/>
      </c>
      <c r="I148" s="5" t="str">
        <f>IFERROR(IF(H148="ND","ND",baoliuxiaoshuwei(((H148-基础页!$B$23)*基础页!$B$16)/C148,2)),"")</f>
        <v/>
      </c>
    </row>
    <row r="149" ht="20.25" customHeight="1" spans="1:9">
      <c r="A149" s="3"/>
      <c r="G149" s="5" t="str">
        <f t="shared" si="2"/>
        <v/>
      </c>
      <c r="I149" s="5" t="str">
        <f>IFERROR(IF(H149="ND","ND",baoliuxiaoshuwei(((H149-基础页!$B$23)*基础页!$B$16)/C149,2)),"")</f>
        <v/>
      </c>
    </row>
    <row r="150" ht="20.25" customHeight="1" spans="1:9">
      <c r="A150" s="3"/>
      <c r="I150" s="5" t="str">
        <f>IFERROR(IF(H150="ND","ND",baoliuxiaoshuwei(((H150-基础页!$B$23)*基础页!$B$16)/C150,2)),"")</f>
        <v/>
      </c>
    </row>
    <row r="151" ht="20.25" customHeight="1" spans="1:9">
      <c r="A151" s="3"/>
      <c r="I151" s="5" t="str">
        <f>IFERROR(IF(H151="ND","ND",baoliuxiaoshuwei(((H151-基础页!$B$23)*基础页!$B$16)/C151,2)),"")</f>
        <v/>
      </c>
    </row>
    <row r="152" ht="20.25" customHeight="1" spans="1:9">
      <c r="A152" s="3"/>
      <c r="I152" s="5" t="str">
        <f>IFERROR(IF(H152="ND","ND",baoliuxiaoshuwei(((H152-基础页!$B$23)*基础页!$B$16)/C152,2)),"")</f>
        <v/>
      </c>
    </row>
    <row r="153" ht="20.25" customHeight="1" spans="1:9">
      <c r="A153" s="3"/>
      <c r="I153" s="5" t="str">
        <f>IFERROR(IF(H153="ND","ND",baoliuxiaoshuwei(((H153-基础页!$B$23)*基础页!$B$16)/C153,2)),"")</f>
        <v/>
      </c>
    </row>
    <row r="154" ht="20.25" customHeight="1" spans="1:9">
      <c r="A154" s="3"/>
      <c r="I154" s="5" t="str">
        <f>IFERROR(IF(H154="ND","ND",baoliuxiaoshuwei(((H154-基础页!$B$23)*基础页!$B$16)/C154,2)),"")</f>
        <v/>
      </c>
    </row>
    <row r="155" ht="20.25" customHeight="1" spans="1:9">
      <c r="A155" s="3"/>
      <c r="I155" s="5" t="str">
        <f>IFERROR(IF(H155="ND","ND",baoliuxiaoshuwei(((H155-基础页!$B$23)*基础页!$B$16)/C155,2)),"")</f>
        <v/>
      </c>
    </row>
    <row r="156" ht="20.25" customHeight="1" spans="1:9">
      <c r="A156" s="3"/>
      <c r="I156" s="5" t="str">
        <f>IFERROR(IF(H156="ND","ND",baoliuxiaoshuwei(((H156-基础页!$B$23)*基础页!$B$16)/C156,2)),"")</f>
        <v/>
      </c>
    </row>
    <row r="157" ht="20.25" customHeight="1" spans="1:9">
      <c r="A157" s="3"/>
      <c r="I157" s="5" t="str">
        <f>IFERROR(IF(H157="ND","ND",baoliuxiaoshuwei(((H157-基础页!$B$23)*基础页!$B$16)/C157,2)),"")</f>
        <v/>
      </c>
    </row>
    <row r="158" ht="20.25" customHeight="1" spans="1:9">
      <c r="A158" s="3"/>
      <c r="I158" s="5" t="str">
        <f>IFERROR(IF(H158="ND","ND",baoliuxiaoshuwei(((H158-基础页!$B$23)*基础页!$B$16)/C158,2)),"")</f>
        <v/>
      </c>
    </row>
    <row r="159" ht="20.25" customHeight="1" spans="1:9">
      <c r="A159" s="3"/>
      <c r="I159" s="5" t="str">
        <f>IFERROR(IF(H159="ND","ND",baoliuxiaoshuwei(((H159-基础页!$B$23)*基础页!$B$16)/C159,2)),"")</f>
        <v/>
      </c>
    </row>
    <row r="160" ht="20.25" customHeight="1" spans="1:9">
      <c r="A160" s="3"/>
      <c r="I160" s="5" t="str">
        <f>IFERROR(IF(H160="ND","ND",baoliuxiaoshuwei(((H160-基础页!$B$23)*基础页!$B$16)/C160,2)),"")</f>
        <v/>
      </c>
    </row>
    <row r="161" ht="20.25" customHeight="1" spans="1:9">
      <c r="A161" s="3"/>
      <c r="I161" s="5" t="str">
        <f>IFERROR(IF(H161="ND","ND",baoliuxiaoshuwei(((H161-基础页!$B$23)*基础页!$B$16)/C161,2)),"")</f>
        <v/>
      </c>
    </row>
    <row r="162" ht="20.25" customHeight="1" spans="1:9">
      <c r="A162" s="3"/>
      <c r="I162" s="5" t="str">
        <f>IFERROR(IF(H162="ND","ND",baoliuxiaoshuwei(((H162-基础页!$B$23)*基础页!$B$16)/C162,2)),"")</f>
        <v/>
      </c>
    </row>
    <row r="163" ht="20.25" customHeight="1" spans="1:9">
      <c r="A163" s="3"/>
      <c r="I163" s="5" t="str">
        <f>IFERROR(IF(H163="ND","ND",baoliuxiaoshuwei(((H163-基础页!$B$23)*基础页!$B$16)/C163,2)),"")</f>
        <v/>
      </c>
    </row>
    <row r="164" ht="20.25" customHeight="1" spans="1:9">
      <c r="A164" s="3"/>
      <c r="I164" s="5" t="str">
        <f>IFERROR(IF(H164="ND","ND",baoliuxiaoshuwei(((H164-基础页!$B$23)*基础页!$B$16)/C164,2)),"")</f>
        <v/>
      </c>
    </row>
    <row r="165" ht="20.25" customHeight="1" spans="1:9">
      <c r="A165" s="3"/>
      <c r="I165" s="5" t="str">
        <f>IFERROR(IF(H165="ND","ND",baoliuxiaoshuwei(((H165-基础页!$B$23)*基础页!$B$16)/C165,2)),"")</f>
        <v/>
      </c>
    </row>
    <row r="166" ht="20.25" customHeight="1" spans="1:9">
      <c r="A166" s="3"/>
      <c r="I166" s="5" t="str">
        <f>IFERROR(IF(H166="ND","ND",baoliuxiaoshuwei(((H166-基础页!$B$23)*基础页!$B$16)/C166,2)),"")</f>
        <v/>
      </c>
    </row>
    <row r="167" ht="20.25" customHeight="1" spans="1:9">
      <c r="A167" s="3"/>
      <c r="I167" s="5" t="str">
        <f>IFERROR(IF(H167="ND","ND",baoliuxiaoshuwei(((H167-基础页!$B$23)*基础页!$B$16)/C167,2)),"")</f>
        <v/>
      </c>
    </row>
    <row r="168" ht="20.25" customHeight="1" spans="1:9">
      <c r="A168" s="3"/>
      <c r="I168" s="5" t="str">
        <f>IFERROR(IF(H168="ND","ND",baoliuxiaoshuwei(((H168-基础页!$B$23)*基础页!$B$16)/C168,2)),"")</f>
        <v/>
      </c>
    </row>
    <row r="169" ht="20.25" customHeight="1" spans="1:9">
      <c r="A169" s="3"/>
      <c r="I169" s="5" t="str">
        <f>IFERROR(IF(H169="ND","ND",baoliuxiaoshuwei(((H169-基础页!$B$23)*基础页!$B$16)/C169,2)),"")</f>
        <v/>
      </c>
    </row>
    <row r="170" ht="20.25" customHeight="1" spans="1:9">
      <c r="A170" s="3"/>
      <c r="I170" s="5" t="str">
        <f>IFERROR(IF(H170="ND","ND",baoliuxiaoshuwei(((H170-基础页!$B$23)*基础页!$B$16)/C170,2)),"")</f>
        <v/>
      </c>
    </row>
    <row r="171" ht="20.25" customHeight="1" spans="1:9">
      <c r="A171" s="3"/>
      <c r="I171" s="5" t="str">
        <f>IFERROR(IF(H171="ND","ND",baoliuxiaoshuwei(((H171-基础页!$B$23)*基础页!$B$16)/C171,2)),"")</f>
        <v/>
      </c>
    </row>
    <row r="172" ht="20.25" customHeight="1" spans="1:9">
      <c r="A172" s="3"/>
      <c r="I172" s="5" t="str">
        <f>IFERROR(IF(H172="ND","ND",baoliuxiaoshuwei(((H172-基础页!$B$23)*基础页!$B$16)/C172,2)),"")</f>
        <v/>
      </c>
    </row>
    <row r="173" ht="20.25" customHeight="1" spans="1:9">
      <c r="A173" s="3"/>
      <c r="I173" s="5" t="str">
        <f>IFERROR(IF(H173="ND","ND",baoliuxiaoshuwei(((H173-基础页!$B$23)*基础页!$B$16)/C173,2)),"")</f>
        <v/>
      </c>
    </row>
    <row r="174" ht="20.25" customHeight="1" spans="1:9">
      <c r="A174" s="3"/>
      <c r="I174" s="5" t="str">
        <f>IFERROR(IF(H174="ND","ND",baoliuxiaoshuwei(((H174-基础页!$B$23)*基础页!$B$16)/C174,2)),"")</f>
        <v/>
      </c>
    </row>
    <row r="175" ht="20.25" customHeight="1" spans="1:9">
      <c r="A175" s="3"/>
      <c r="I175" s="5" t="str">
        <f>IFERROR(IF(H175="ND","ND",baoliuxiaoshuwei(((H175-基础页!$B$23)*基础页!$B$16)/C175,2)),"")</f>
        <v/>
      </c>
    </row>
    <row r="176" ht="20.25" customHeight="1" spans="1:9">
      <c r="A176" s="3"/>
      <c r="I176" s="5" t="str">
        <f>IFERROR(IF(H176="ND","ND",baoliuxiaoshuwei(((H176-基础页!$B$23)*基础页!$B$16)/C176,2)),"")</f>
        <v/>
      </c>
    </row>
    <row r="177" ht="20.25" customHeight="1" spans="1:9">
      <c r="A177" s="3"/>
      <c r="I177" s="5" t="str">
        <f>IFERROR(IF(H177="ND","ND",baoliuxiaoshuwei(((H177-基础页!$B$23)*基础页!$B$16)/C177,2)),"")</f>
        <v/>
      </c>
    </row>
    <row r="178" ht="20.25" customHeight="1" spans="1:9">
      <c r="A178" s="3"/>
      <c r="I178" s="5" t="str">
        <f>IFERROR(IF(H178="ND","ND",baoliuxiaoshuwei(((H178-基础页!$B$23)*基础页!$B$16)/C178,2)),"")</f>
        <v/>
      </c>
    </row>
    <row r="179" ht="20.25" customHeight="1" spans="1:9">
      <c r="A179" s="3"/>
      <c r="I179" s="5" t="str">
        <f>IFERROR(IF(H179="ND","ND",baoliuxiaoshuwei(((H179-基础页!$B$23)*基础页!$B$16)/C179,2)),"")</f>
        <v/>
      </c>
    </row>
    <row r="180" ht="20.25" customHeight="1" spans="1:9">
      <c r="A180" s="3"/>
      <c r="I180" s="5" t="str">
        <f>IFERROR(IF(H180="ND","ND",baoliuxiaoshuwei(((H180-基础页!$B$23)*基础页!$B$16)/C180,2)),"")</f>
        <v/>
      </c>
    </row>
    <row r="181" ht="20.25" customHeight="1" spans="1:9">
      <c r="A181" s="3"/>
      <c r="I181" s="5" t="str">
        <f>IFERROR(IF(H181="ND","ND",baoliuxiaoshuwei(((H181-基础页!$B$23)*基础页!$B$16)/C181,2)),"")</f>
        <v/>
      </c>
    </row>
    <row r="182" ht="20.25" customHeight="1" spans="1:9">
      <c r="A182" s="3"/>
      <c r="I182" s="5" t="str">
        <f>IFERROR(IF(H182="ND","ND",baoliuxiaoshuwei(((H182-基础页!$B$23)*基础页!$B$16)/C182,2)),"")</f>
        <v/>
      </c>
    </row>
    <row r="183" ht="20.25" customHeight="1" spans="1:9">
      <c r="A183" s="3"/>
      <c r="I183" s="5" t="str">
        <f>IFERROR(IF(H183="ND","ND",baoliuxiaoshuwei(((H183-基础页!$B$23)*基础页!$B$16)/C183,2)),"")</f>
        <v/>
      </c>
    </row>
    <row r="184" ht="20.25" customHeight="1" spans="1:9">
      <c r="A184" s="3"/>
      <c r="I184" s="5" t="str">
        <f>IFERROR(IF(H184="ND","ND",baoliuxiaoshuwei(((H184-基础页!$B$23)*基础页!$B$16)/C184,2)),"")</f>
        <v/>
      </c>
    </row>
    <row r="185" ht="20.25" customHeight="1" spans="1:9">
      <c r="A185" s="3"/>
      <c r="I185" s="5" t="str">
        <f>IFERROR(IF(H185="ND","ND",baoliuxiaoshuwei(((H185-基础页!$B$23)*基础页!$B$16)/C185,2)),"")</f>
        <v/>
      </c>
    </row>
    <row r="186" ht="20.25" customHeight="1" spans="1:9">
      <c r="A186" s="3"/>
      <c r="I186" s="5" t="str">
        <f>IFERROR(IF(H186="ND","ND",baoliuxiaoshuwei(((H186-基础页!$B$23)*基础页!$B$16)/C186,2)),"")</f>
        <v/>
      </c>
    </row>
    <row r="187" ht="20.25" customHeight="1" spans="1:9">
      <c r="A187" s="3"/>
      <c r="I187" s="5" t="str">
        <f>IFERROR(IF(H187="ND","ND",baoliuxiaoshuwei(((H187-基础页!$B$23)*基础页!$B$16)/C187,2)),"")</f>
        <v/>
      </c>
    </row>
    <row r="188" ht="20.25" customHeight="1" spans="1:9">
      <c r="A188" s="3"/>
      <c r="I188" s="5" t="str">
        <f>IFERROR(IF(H188="ND","ND",baoliuxiaoshuwei(((H188-基础页!$B$23)*基础页!$B$16)/C188,2)),"")</f>
        <v/>
      </c>
    </row>
    <row r="189" ht="20.25" customHeight="1" spans="1:9">
      <c r="A189" s="3"/>
      <c r="I189" s="5" t="str">
        <f>IFERROR(IF(H189="ND","ND",baoliuxiaoshuwei(((H189-基础页!$B$23)*基础页!$B$16)/C189,2)),"")</f>
        <v/>
      </c>
    </row>
    <row r="190" ht="20.25" customHeight="1" spans="1:9">
      <c r="A190" s="3"/>
      <c r="I190" s="5" t="str">
        <f>IFERROR(IF(H190="ND","ND",baoliuxiaoshuwei(((H190-基础页!$B$23)*基础页!$B$16)/C190,2)),"")</f>
        <v/>
      </c>
    </row>
    <row r="191" ht="20.25" customHeight="1" spans="1:9">
      <c r="A191" s="3"/>
      <c r="I191" s="5" t="str">
        <f>IFERROR(IF(H191="ND","ND",baoliuxiaoshuwei(((H191-基础页!$B$23)*基础页!$B$16)/C191,2)),"")</f>
        <v/>
      </c>
    </row>
    <row r="192" ht="20.25" customHeight="1" spans="1:9">
      <c r="A192" s="3"/>
      <c r="I192" s="5" t="str">
        <f>IFERROR(IF(H192="ND","ND",baoliuxiaoshuwei(((H192-基础页!$B$23)*基础页!$B$16)/C192,2)),"")</f>
        <v/>
      </c>
    </row>
    <row r="193" ht="20.25" customHeight="1" spans="1:9">
      <c r="A193" s="3"/>
      <c r="I193" s="5" t="str">
        <f>IFERROR(IF(H193="ND","ND",baoliuxiaoshuwei(((H193-基础页!$B$23)*基础页!$B$16)/C193,2)),"")</f>
        <v/>
      </c>
    </row>
    <row r="194" ht="20.25" customHeight="1" spans="1:9">
      <c r="A194" s="3"/>
      <c r="I194" s="5" t="str">
        <f>IFERROR(IF(H194="ND","ND",baoliuxiaoshuwei(((H194-基础页!$B$23)*基础页!$B$16)/C194,2)),"")</f>
        <v/>
      </c>
    </row>
    <row r="195" ht="20.25" customHeight="1" spans="1:9">
      <c r="A195" s="3"/>
      <c r="I195" s="5" t="str">
        <f>IFERROR(IF(H195="ND","ND",baoliuxiaoshuwei(((H195-基础页!$B$23)*基础页!$B$16)/C195,2)),"")</f>
        <v/>
      </c>
    </row>
    <row r="196" ht="20.25" customHeight="1" spans="1:9">
      <c r="A196" s="3"/>
      <c r="I196" s="5" t="str">
        <f>IFERROR(IF(H196="ND","ND",baoliuxiaoshuwei(((H196-基础页!$B$23)*基础页!$B$16)/C196,2)),"")</f>
        <v/>
      </c>
    </row>
    <row r="197" ht="20.25" customHeight="1" spans="1:9">
      <c r="A197" s="3"/>
      <c r="I197" s="5" t="str">
        <f>IFERROR(IF(H197="ND","ND",baoliuxiaoshuwei(((H197-基础页!$B$23)*基础页!$B$16)/C197,2)),"")</f>
        <v/>
      </c>
    </row>
    <row r="198" ht="20.25" customHeight="1" spans="1:9">
      <c r="A198" s="3"/>
      <c r="I198" s="5" t="str">
        <f>IFERROR(IF(H198="ND","ND",baoliuxiaoshuwei(((H198-基础页!$B$23)*基础页!$B$16)/C198,2)),"")</f>
        <v/>
      </c>
    </row>
    <row r="199" ht="20.25" customHeight="1" spans="1:9">
      <c r="A199" s="3"/>
      <c r="I199" s="5" t="str">
        <f>IFERROR(IF(H199="ND","ND",baoliuxiaoshuwei(((H199-基础页!$B$23)*基础页!$B$16)/C199,2)),"")</f>
        <v/>
      </c>
    </row>
    <row r="200" ht="20.25" customHeight="1" spans="1:9">
      <c r="A200" s="3"/>
      <c r="I200" s="5" t="str">
        <f>IFERROR(IF(H200="ND","ND",baoliuxiaoshuwei(((H200-基础页!$B$23)*基础页!$B$16)/C200,2)),"")</f>
        <v/>
      </c>
    </row>
    <row r="201" ht="20.25" customHeight="1" spans="1:9">
      <c r="A201" s="3"/>
      <c r="I201" s="5" t="str">
        <f>IFERROR(IF(H201="ND","ND",baoliuxiaoshuwei(((H201-基础页!$B$23)*基础页!$B$16)/C201,2)),"")</f>
        <v/>
      </c>
    </row>
    <row r="202" ht="20.25" customHeight="1" spans="1:9">
      <c r="A202" s="3"/>
      <c r="I202" s="5" t="str">
        <f>IFERROR(IF(H202="ND","ND",baoliuxiaoshuwei(((H202-基础页!$B$23)*基础页!$B$16)/C202,2)),"")</f>
        <v/>
      </c>
    </row>
    <row r="203" ht="20.25" customHeight="1" spans="1:9">
      <c r="A203" s="3"/>
      <c r="I203" s="5" t="str">
        <f>IFERROR(IF(H203="ND","ND",baoliuxiaoshuwei(((H203-基础页!$B$23)*基础页!$B$16)/C203,2)),"")</f>
        <v/>
      </c>
    </row>
    <row r="204" ht="20.25" customHeight="1" spans="1:9">
      <c r="A204" s="3"/>
      <c r="I204" s="5" t="str">
        <f>IFERROR(IF(H204="ND","ND",baoliuxiaoshuwei(((H204-基础页!$B$23)*基础页!$B$16)/C204,2)),"")</f>
        <v/>
      </c>
    </row>
    <row r="205" ht="20.25" customHeight="1" spans="1:9">
      <c r="A205" s="3"/>
      <c r="I205" s="5" t="str">
        <f>IFERROR(IF(H205="ND","ND",baoliuxiaoshuwei(((H205-基础页!$B$23)*基础页!$B$16)/C205,2)),"")</f>
        <v/>
      </c>
    </row>
    <row r="206" ht="20.25" customHeight="1" spans="1:9">
      <c r="A206" s="3"/>
      <c r="I206" s="5" t="str">
        <f>IFERROR(IF(H206="ND","ND",baoliuxiaoshuwei(((H206-基础页!$B$23)*基础页!$B$16)/C206,2)),"")</f>
        <v/>
      </c>
    </row>
    <row r="207" ht="20.25" customHeight="1" spans="1:9">
      <c r="A207" s="3"/>
      <c r="I207" s="5" t="str">
        <f>IFERROR(IF(H207="ND","ND",baoliuxiaoshuwei(((H207-基础页!$B$23)*基础页!$B$16)/C207,2)),"")</f>
        <v/>
      </c>
    </row>
    <row r="208" ht="20.25" customHeight="1" spans="1:9">
      <c r="A208" s="3"/>
      <c r="I208" s="5" t="str">
        <f>IFERROR(IF(H208="ND","ND",baoliuxiaoshuwei(((H208-基础页!$B$23)*基础页!$B$16)/C208,2)),"")</f>
        <v/>
      </c>
    </row>
    <row r="209" ht="20.25" customHeight="1" spans="1:9">
      <c r="A209" s="3"/>
      <c r="I209" s="5" t="str">
        <f>IFERROR(IF(H209="ND","ND",baoliuxiaoshuwei(((H209-基础页!$B$23)*基础页!$B$16)/C209,2)),"")</f>
        <v/>
      </c>
    </row>
    <row r="210" ht="20.25" customHeight="1" spans="1:9">
      <c r="A210" s="3"/>
      <c r="I210" s="5" t="str">
        <f>IFERROR(IF(H210="ND","ND",baoliuxiaoshuwei(((H210-基础页!$B$23)*基础页!$B$16)/C210,2)),"")</f>
        <v/>
      </c>
    </row>
    <row r="211" ht="20.25" customHeight="1" spans="1:9">
      <c r="A211" s="3"/>
      <c r="I211" s="5" t="str">
        <f>IFERROR(IF(H211="ND","ND",baoliuxiaoshuwei(((H211-基础页!$B$23)*基础页!$B$16)/C211,2)),"")</f>
        <v/>
      </c>
    </row>
    <row r="212" ht="20.25" customHeight="1" spans="1:9">
      <c r="A212" s="3"/>
      <c r="I212" s="5" t="str">
        <f>IFERROR(IF(H212="ND","ND",baoliuxiaoshuwei(((H212-基础页!$B$23)*基础页!$B$16)/C212,2)),"")</f>
        <v/>
      </c>
    </row>
    <row r="213" ht="20.25" customHeight="1" spans="1:9">
      <c r="A213" s="3"/>
      <c r="I213" s="5" t="str">
        <f>IFERROR(IF(H213="ND","ND",baoliuxiaoshuwei(((H213-基础页!$B$23)*基础页!$B$16)/C213,2)),"")</f>
        <v/>
      </c>
    </row>
    <row r="214" ht="20.25" customHeight="1" spans="1:9">
      <c r="A214" s="3"/>
      <c r="I214" s="5" t="str">
        <f>IFERROR(IF(H214="ND","ND",baoliuxiaoshuwei(((H214-基础页!$B$23)*基础页!$B$16)/C214,2)),"")</f>
        <v/>
      </c>
    </row>
    <row r="215" ht="20.25" customHeight="1" spans="1:9">
      <c r="A215" s="3"/>
      <c r="I215" s="5" t="str">
        <f>IFERROR(IF(H215="ND","ND",baoliuxiaoshuwei(((H215-基础页!$B$23)*基础页!$B$16)/C215,2)),"")</f>
        <v/>
      </c>
    </row>
    <row r="216" ht="20.25" customHeight="1" spans="1:9">
      <c r="A216" s="3"/>
      <c r="I216" s="5" t="str">
        <f>IFERROR(IF(H216="ND","ND",baoliuxiaoshuwei(((H216-基础页!$B$23)*基础页!$B$16)/C216,2)),"")</f>
        <v/>
      </c>
    </row>
    <row r="217" ht="20.25" customHeight="1" spans="1:9">
      <c r="A217" s="3"/>
      <c r="I217" s="5" t="str">
        <f>IFERROR(IF(H217="ND","ND",baoliuxiaoshuwei(((H217-基础页!$B$23)*基础页!$B$16)/C217,2)),"")</f>
        <v/>
      </c>
    </row>
    <row r="218" ht="20.25" customHeight="1" spans="1:9">
      <c r="A218" s="3"/>
      <c r="I218" s="5" t="str">
        <f>IFERROR(IF(H218="ND","ND",baoliuxiaoshuwei(((H218-基础页!$B$23)*基础页!$B$16)/C218,2)),"")</f>
        <v/>
      </c>
    </row>
    <row r="219" ht="20.25" customHeight="1" spans="1:9">
      <c r="A219" s="3"/>
      <c r="I219" s="5" t="str">
        <f>IFERROR(IF(H219="ND","ND",baoliuxiaoshuwei(((H219-基础页!$B$23)*基础页!$B$16)/C219,2)),"")</f>
        <v/>
      </c>
    </row>
    <row r="220" ht="20.25" customHeight="1" spans="1:9">
      <c r="A220" s="3"/>
      <c r="I220" s="5" t="str">
        <f>IFERROR(IF(H220="ND","ND",baoliuxiaoshuwei(((H220-基础页!$B$23)*基础页!$B$16)/C220,2)),"")</f>
        <v/>
      </c>
    </row>
    <row r="221" ht="20.25" customHeight="1" spans="1:9">
      <c r="A221" s="3"/>
      <c r="I221" s="5" t="str">
        <f>IFERROR(IF(H221="ND","ND",baoliuxiaoshuwei(((H221-基础页!$B$23)*基础页!$B$16)/C221,2)),"")</f>
        <v/>
      </c>
    </row>
    <row r="222" ht="20.25" customHeight="1" spans="1:9">
      <c r="A222" s="3"/>
      <c r="I222" s="5" t="str">
        <f>IFERROR(IF(H222="ND","ND",baoliuxiaoshuwei(((H222-基础页!$B$23)*基础页!$B$16)/C222,2)),"")</f>
        <v/>
      </c>
    </row>
    <row r="223" ht="20.25" customHeight="1" spans="1:9">
      <c r="A223" s="3"/>
      <c r="I223" s="5" t="str">
        <f>IFERROR(IF(H223="ND","ND",baoliuxiaoshuwei(((H223-基础页!$B$23)*基础页!$B$16)/C223,2)),"")</f>
        <v/>
      </c>
    </row>
    <row r="224" ht="20.25" customHeight="1" spans="1:9">
      <c r="A224" s="3"/>
      <c r="I224" s="5" t="str">
        <f>IFERROR(IF(H224="ND","ND",baoliuxiaoshuwei(((H224-基础页!$B$23)*基础页!$B$16)/C224,2)),"")</f>
        <v/>
      </c>
    </row>
    <row r="225" ht="20.25" customHeight="1" spans="1:9">
      <c r="A225" s="3"/>
      <c r="I225" s="5" t="str">
        <f>IFERROR(IF(H225="ND","ND",baoliuxiaoshuwei(((H225-基础页!$B$23)*基础页!$B$16)/C225,2)),"")</f>
        <v/>
      </c>
    </row>
    <row r="226" ht="20.25" customHeight="1" spans="1:9">
      <c r="A226" s="3"/>
      <c r="I226" s="5" t="str">
        <f>IFERROR(IF(H226="ND","ND",baoliuxiaoshuwei(((H226-基础页!$B$23)*基础页!$B$16)/C226,2)),"")</f>
        <v/>
      </c>
    </row>
    <row r="227" ht="20.25" customHeight="1" spans="1:9">
      <c r="A227" s="3"/>
      <c r="I227" s="5" t="str">
        <f>IFERROR(IF(H227="ND","ND",baoliuxiaoshuwei(((H227-基础页!$B$23)*基础页!$B$16)/C227,2)),"")</f>
        <v/>
      </c>
    </row>
    <row r="228" ht="20.25" customHeight="1" spans="1:9">
      <c r="A228" s="3"/>
      <c r="I228" s="5" t="str">
        <f>IFERROR(IF(H228="ND","ND",baoliuxiaoshuwei(((H228-基础页!$B$23)*基础页!$B$16)/C228,2)),"")</f>
        <v/>
      </c>
    </row>
    <row r="229" ht="20.25" customHeight="1" spans="1:9">
      <c r="A229" s="3"/>
      <c r="I229" s="5" t="str">
        <f>IFERROR(IF(H229="ND","ND",baoliuxiaoshuwei(((H229-基础页!$B$23)*基础页!$B$16)/C229,2)),"")</f>
        <v/>
      </c>
    </row>
    <row r="230" ht="20.25" customHeight="1" spans="1:9">
      <c r="A230" s="3"/>
      <c r="I230" s="5" t="str">
        <f>IFERROR(IF(H230="ND","ND",baoliuxiaoshuwei(((H230-基础页!$B$23)*基础页!$B$16)/C230,2)),"")</f>
        <v/>
      </c>
    </row>
    <row r="231" ht="20.25" customHeight="1" spans="1:9">
      <c r="A231" s="3"/>
      <c r="I231" s="5" t="str">
        <f>IFERROR(IF(H231="ND","ND",baoliuxiaoshuwei(((H231-基础页!$B$23)*基础页!$B$16)/C231,2)),"")</f>
        <v/>
      </c>
    </row>
    <row r="232" ht="20.25" customHeight="1" spans="1:9">
      <c r="A232" s="3"/>
      <c r="I232" s="5" t="str">
        <f>IFERROR(IF(H232="ND","ND",baoliuxiaoshuwei(((H232-基础页!$B$23)*基础页!$B$16)/C232,2)),"")</f>
        <v/>
      </c>
    </row>
    <row r="233" ht="20.25" customHeight="1" spans="1:9">
      <c r="A233" s="3"/>
      <c r="I233" s="5" t="str">
        <f>IFERROR(IF(H233="ND","ND",baoliuxiaoshuwei(((H233-基础页!$B$23)*基础页!$B$16)/C233,2)),"")</f>
        <v/>
      </c>
    </row>
    <row r="234" ht="20.25" customHeight="1" spans="1:9">
      <c r="A234" s="3"/>
      <c r="I234" s="5" t="str">
        <f>IFERROR(IF(H234="ND","ND",baoliuxiaoshuwei(((H234-基础页!$B$23)*基础页!$B$16)/C234,2)),"")</f>
        <v/>
      </c>
    </row>
    <row r="235" ht="20.25" customHeight="1" spans="1:9">
      <c r="A235" s="3"/>
      <c r="I235" s="5" t="str">
        <f>IFERROR(IF(H235="ND","ND",baoliuxiaoshuwei(((H235-基础页!$B$23)*基础页!$B$16)/C235,2)),"")</f>
        <v/>
      </c>
    </row>
    <row r="236" ht="20.25" customHeight="1" spans="1:9">
      <c r="A236" s="3"/>
      <c r="I236" s="5" t="str">
        <f>IFERROR(IF(H236="ND","ND",baoliuxiaoshuwei(((H236-基础页!$B$23)*基础页!$B$16)/C236,2)),"")</f>
        <v/>
      </c>
    </row>
    <row r="237" ht="20.25" customHeight="1" spans="1:9">
      <c r="A237" s="3"/>
      <c r="I237" s="5" t="str">
        <f>IFERROR(IF(H237="ND","ND",baoliuxiaoshuwei(((H237-基础页!$B$23)*基础页!$B$16)/C237,2)),"")</f>
        <v/>
      </c>
    </row>
    <row r="238" ht="20.25" customHeight="1" spans="1:9">
      <c r="A238" s="3"/>
      <c r="I238" s="5" t="str">
        <f>IFERROR(IF(H238="ND","ND",baoliuxiaoshuwei(((H238-基础页!$B$23)*基础页!$B$16)/C238,2)),"")</f>
        <v/>
      </c>
    </row>
    <row r="239" ht="20.25" customHeight="1" spans="1:9">
      <c r="A239" s="3"/>
      <c r="I239" s="5" t="str">
        <f>IFERROR(IF(H239="ND","ND",baoliuxiaoshuwei(((H239-基础页!$B$23)*基础页!$B$16)/C239,2)),"")</f>
        <v/>
      </c>
    </row>
    <row r="240" ht="20.25" customHeight="1" spans="1:9">
      <c r="A240" s="3"/>
      <c r="I240" s="5" t="str">
        <f>IFERROR(IF(H240="ND","ND",baoliuxiaoshuwei(((H240-基础页!$B$23)*基础页!$B$16)/C240,2)),"")</f>
        <v/>
      </c>
    </row>
    <row r="241" ht="20.25" customHeight="1" spans="1:9">
      <c r="A241" s="3"/>
      <c r="I241" s="5" t="str">
        <f>IFERROR(IF(H241="ND","ND",baoliuxiaoshuwei(((H241-基础页!$B$23)*基础页!$B$16)/C241,2)),"")</f>
        <v/>
      </c>
    </row>
    <row r="242" ht="20.25" customHeight="1" spans="1:9">
      <c r="A242" s="3"/>
      <c r="I242" s="5" t="str">
        <f>IFERROR(IF(H242="ND","ND",baoliuxiaoshuwei(((H242-基础页!$B$23)*基础页!$B$16)/C242,2)),"")</f>
        <v/>
      </c>
    </row>
    <row r="243" ht="20.25" customHeight="1" spans="1:9">
      <c r="A243" s="3"/>
      <c r="I243" s="5" t="str">
        <f>IFERROR(IF(H243="ND","ND",baoliuxiaoshuwei(((H243-基础页!$B$23)*基础页!$B$16)/C243,2)),"")</f>
        <v/>
      </c>
    </row>
    <row r="244" ht="20.25" customHeight="1" spans="1:9">
      <c r="A244" s="3"/>
      <c r="I244" s="5" t="str">
        <f>IFERROR(IF(H244="ND","ND",baoliuxiaoshuwei(((H244-基础页!$B$23)*基础页!$B$16)/C244,2)),"")</f>
        <v/>
      </c>
    </row>
    <row r="245" ht="20.25" customHeight="1" spans="1:9">
      <c r="A245" s="3"/>
      <c r="I245" s="5" t="str">
        <f>IFERROR(IF(H245="ND","ND",baoliuxiaoshuwei(((H245-基础页!$B$23)*基础页!$B$16)/C245,2)),"")</f>
        <v/>
      </c>
    </row>
    <row r="246" ht="20.25" customHeight="1" spans="1:9">
      <c r="A246" s="3"/>
      <c r="I246" s="5" t="str">
        <f>IFERROR(IF(H246="ND","ND",baoliuxiaoshuwei(((H246-基础页!$B$23)*基础页!$B$16)/C246,2)),"")</f>
        <v/>
      </c>
    </row>
    <row r="247" ht="20.25" customHeight="1" spans="1:9">
      <c r="A247" s="3"/>
      <c r="I247" s="5" t="str">
        <f>IFERROR(IF(H247="ND","ND",baoliuxiaoshuwei(((H247-基础页!$B$23)*基础页!$B$16)/C247,2)),"")</f>
        <v/>
      </c>
    </row>
    <row r="248" ht="20.25" customHeight="1" spans="1:9">
      <c r="A248" s="3"/>
      <c r="I248" s="5" t="str">
        <f>IFERROR(IF(H248="ND","ND",baoliuxiaoshuwei(((H248-基础页!$B$23)*基础页!$B$16)/C248,2)),"")</f>
        <v/>
      </c>
    </row>
    <row r="249" ht="20.25" customHeight="1" spans="1:9">
      <c r="A249" s="3"/>
      <c r="I249" s="5" t="str">
        <f>IFERROR(IF(H249="ND","ND",baoliuxiaoshuwei(((H249-基础页!$B$23)*基础页!$B$16)/C249,2)),"")</f>
        <v/>
      </c>
    </row>
    <row r="250" ht="20.25" customHeight="1" spans="1:9">
      <c r="A250" s="3"/>
      <c r="I250" s="5" t="str">
        <f>IFERROR(IF(H250="ND","ND",baoliuxiaoshuwei(((H250-基础页!$B$23)*基础页!$B$16)/C250,2)),"")</f>
        <v/>
      </c>
    </row>
    <row r="251" ht="20.25" customHeight="1" spans="1:9">
      <c r="A251" s="3"/>
      <c r="I251" s="5" t="str">
        <f>IFERROR(IF(H251="ND","ND",baoliuxiaoshuwei(((H251-基础页!$B$23)*基础页!$B$16)/C251,2)),"")</f>
        <v/>
      </c>
    </row>
    <row r="252" ht="20.25" customHeight="1" spans="1:9">
      <c r="A252" s="3"/>
      <c r="I252" s="5" t="str">
        <f>IFERROR(IF(H252="ND","ND",baoliuxiaoshuwei(((H252-基础页!$B$23)*基础页!$B$16)/C252,2)),"")</f>
        <v/>
      </c>
    </row>
    <row r="253" ht="20.25" customHeight="1" spans="1:9">
      <c r="A253" s="3"/>
      <c r="I253" s="5" t="str">
        <f>IFERROR(IF(H253="ND","ND",baoliuxiaoshuwei(((H253-基础页!$B$23)*基础页!$B$16)/C253,2)),"")</f>
        <v/>
      </c>
    </row>
    <row r="254" ht="20.25" customHeight="1" spans="1:9">
      <c r="A254" s="3"/>
      <c r="I254" s="5" t="str">
        <f>IFERROR(IF(H254="ND","ND",baoliuxiaoshuwei(((H254-基础页!$B$23)*基础页!$B$16)/C254,2)),"")</f>
        <v/>
      </c>
    </row>
    <row r="255" ht="20.25" customHeight="1" spans="1:9">
      <c r="A255" s="3"/>
      <c r="I255" s="5" t="str">
        <f>IFERROR(IF(H255="ND","ND",baoliuxiaoshuwei(((H255-基础页!$B$23)*基础页!$B$16)/C255,2)),"")</f>
        <v/>
      </c>
    </row>
    <row r="256" ht="20.25" customHeight="1" spans="1:9">
      <c r="A256" s="3"/>
      <c r="I256" s="5" t="str">
        <f>IFERROR(IF(H256="ND","ND",baoliuxiaoshuwei(((H256-基础页!$B$23)*基础页!$B$16)/C256,2)),"")</f>
        <v/>
      </c>
    </row>
    <row r="257" ht="20.25" customHeight="1" spans="1:9">
      <c r="A257" s="3"/>
      <c r="I257" s="5" t="str">
        <f>IFERROR(IF(H257="ND","ND",baoliuxiaoshuwei(((H257-基础页!$B$23)*基础页!$B$16)/C257,2)),"")</f>
        <v/>
      </c>
    </row>
    <row r="258" ht="20.25" customHeight="1" spans="1:9">
      <c r="A258" s="3"/>
      <c r="I258" s="5" t="str">
        <f>IFERROR(IF(H258="ND","ND",baoliuxiaoshuwei(((H258-基础页!$B$23)*基础页!$B$16)/C258,2)),"")</f>
        <v/>
      </c>
    </row>
    <row r="259" ht="20.25" customHeight="1" spans="1:9">
      <c r="A259" s="3"/>
      <c r="I259" s="5" t="str">
        <f>IFERROR(IF(H259="ND","ND",baoliuxiaoshuwei(((H259-基础页!$B$23)*基础页!$B$16)/C259,2)),"")</f>
        <v/>
      </c>
    </row>
    <row r="260" ht="20.25" customHeight="1" spans="1:9">
      <c r="A260" s="3"/>
      <c r="I260" s="5" t="str">
        <f>IFERROR(IF(H260="ND","ND",baoliuxiaoshuwei(((H260-基础页!$B$23)*基础页!$B$16)/C260,2)),"")</f>
        <v/>
      </c>
    </row>
    <row r="261" ht="20.25" customHeight="1" spans="1:9">
      <c r="A261" s="3"/>
      <c r="I261" s="5" t="str">
        <f>IFERROR(IF(H261="ND","ND",baoliuxiaoshuwei(((H261-基础页!$B$23)*基础页!$B$16)/C261,2)),"")</f>
        <v/>
      </c>
    </row>
    <row r="262" ht="20.25" customHeight="1" spans="1:9">
      <c r="A262" s="3"/>
      <c r="I262" s="5" t="str">
        <f>IFERROR(IF(H262="ND","ND",baoliuxiaoshuwei(((H262-基础页!$B$23)*基础页!$B$16)/C262,2)),"")</f>
        <v/>
      </c>
    </row>
    <row r="263" ht="20.25" customHeight="1" spans="1:9">
      <c r="A263" s="3"/>
      <c r="I263" s="5" t="str">
        <f>IFERROR(IF(H263="ND","ND",baoliuxiaoshuwei(((H263-基础页!$B$23)*基础页!$B$16)/C263,2)),"")</f>
        <v/>
      </c>
    </row>
    <row r="264" ht="20.25" customHeight="1" spans="1:9">
      <c r="A264" s="3"/>
      <c r="I264" s="5" t="str">
        <f>IFERROR(IF(H264="ND","ND",baoliuxiaoshuwei(((H264-基础页!$B$23)*基础页!$B$16)/C264,2)),"")</f>
        <v/>
      </c>
    </row>
    <row r="265" ht="20.25" customHeight="1" spans="1:9">
      <c r="A265" s="3"/>
      <c r="I265" s="5" t="str">
        <f>IFERROR(IF(H265="ND","ND",baoliuxiaoshuwei(((H265-基础页!$B$23)*基础页!$B$16)/C265,2)),"")</f>
        <v/>
      </c>
    </row>
    <row r="266" ht="20.25" customHeight="1" spans="1:9">
      <c r="A266" s="3"/>
      <c r="I266" s="5" t="str">
        <f>IFERROR(IF(H266="ND","ND",baoliuxiaoshuwei(((H266-基础页!$B$23)*基础页!$B$16)/C266,2)),"")</f>
        <v/>
      </c>
    </row>
    <row r="267" ht="20.25" customHeight="1" spans="1:9">
      <c r="A267" s="3"/>
      <c r="I267" s="5" t="str">
        <f>IFERROR(IF(H267="ND","ND",baoliuxiaoshuwei(((H267-基础页!$B$23)*基础页!$B$16)/C267,2)),"")</f>
        <v/>
      </c>
    </row>
    <row r="268" ht="20.25" customHeight="1" spans="1:9">
      <c r="A268" s="3"/>
      <c r="I268" s="5" t="str">
        <f>IFERROR(IF(H268="ND","ND",baoliuxiaoshuwei(((H268-基础页!$B$23)*基础页!$B$16)/C268,2)),"")</f>
        <v/>
      </c>
    </row>
    <row r="269" ht="20.25" customHeight="1" spans="1:9">
      <c r="A269" s="3"/>
      <c r="I269" s="5" t="str">
        <f>IFERROR(IF(H269="ND","ND",baoliuxiaoshuwei(((H269-基础页!$B$23)*基础页!$B$16)/C269,2)),"")</f>
        <v/>
      </c>
    </row>
    <row r="270" ht="20.25" customHeight="1" spans="1:9">
      <c r="A270" s="3"/>
      <c r="I270" s="5" t="str">
        <f>IFERROR(IF(H270="ND","ND",baoliuxiaoshuwei(((H270-基础页!$B$23)*基础页!$B$16)/C270,2)),"")</f>
        <v/>
      </c>
    </row>
    <row r="271" ht="20.25" customHeight="1" spans="1:9">
      <c r="A271" s="3"/>
      <c r="I271" s="5" t="str">
        <f>IFERROR(IF(H271="ND","ND",baoliuxiaoshuwei(((H271-基础页!$B$23)*基础页!$B$16)/C271,2)),"")</f>
        <v/>
      </c>
    </row>
    <row r="272" ht="20.25" customHeight="1" spans="1:9">
      <c r="A272" s="3"/>
      <c r="I272" s="5" t="str">
        <f>IFERROR(IF(H272="ND","ND",baoliuxiaoshuwei(((H272-基础页!$B$23)*基础页!$B$16)/C272,2)),"")</f>
        <v/>
      </c>
    </row>
    <row r="273" ht="20.25" customHeight="1" spans="1:9">
      <c r="A273" s="3"/>
      <c r="I273" s="5" t="str">
        <f>IFERROR(IF(H273="ND","ND",baoliuxiaoshuwei(((H273-基础页!$B$23)*基础页!$B$16)/C273,2)),"")</f>
        <v/>
      </c>
    </row>
    <row r="274" ht="20.25" customHeight="1" spans="1:9">
      <c r="A274" s="3"/>
      <c r="I274" s="5" t="str">
        <f>IFERROR(IF(H274="ND","ND",baoliuxiaoshuwei(((H274-基础页!$B$23)*基础页!$B$16)/C274,2)),"")</f>
        <v/>
      </c>
    </row>
    <row r="275" ht="20.25" customHeight="1" spans="1:9">
      <c r="A275" s="3"/>
      <c r="I275" s="5" t="str">
        <f>IFERROR(IF(H275="ND","ND",baoliuxiaoshuwei(((H275-基础页!$B$23)*基础页!$B$16)/C275,2)),"")</f>
        <v/>
      </c>
    </row>
    <row r="276" ht="20.25" customHeight="1" spans="1:9">
      <c r="A276" s="3"/>
      <c r="I276" s="5" t="str">
        <f>IFERROR(IF(H276="ND","ND",baoliuxiaoshuwei(((H276-基础页!$B$23)*基础页!$B$16)/C276,2)),"")</f>
        <v/>
      </c>
    </row>
    <row r="277" ht="20.25" customHeight="1" spans="1:9">
      <c r="A277" s="3"/>
      <c r="I277" s="5" t="str">
        <f>IFERROR(IF(H277="ND","ND",baoliuxiaoshuwei(((H277-基础页!$B$23)*基础页!$B$16)/C277,2)),"")</f>
        <v/>
      </c>
    </row>
    <row r="278" ht="20.25" customHeight="1" spans="1:9">
      <c r="A278" s="3"/>
      <c r="I278" s="5" t="str">
        <f>IFERROR(IF(H278="ND","ND",baoliuxiaoshuwei(((H278-基础页!$B$23)*基础页!$B$16)/C278,2)),"")</f>
        <v/>
      </c>
    </row>
    <row r="279" ht="20.25" customHeight="1" spans="1:9">
      <c r="A279" s="3"/>
      <c r="I279" s="5" t="str">
        <f>IFERROR(IF(H279="ND","ND",baoliuxiaoshuwei(((H279-基础页!$B$23)*基础页!$B$16)/C279,2)),"")</f>
        <v/>
      </c>
    </row>
    <row r="280" ht="20.25" customHeight="1" spans="1:9">
      <c r="A280" s="3"/>
      <c r="I280" s="5" t="str">
        <f>IFERROR(IF(H280="ND","ND",baoliuxiaoshuwei(((H280-基础页!$B$23)*基础页!$B$16)/C280,2)),"")</f>
        <v/>
      </c>
    </row>
    <row r="281" ht="20.25" customHeight="1" spans="1:9">
      <c r="A281" s="3"/>
      <c r="I281" s="5" t="str">
        <f>IFERROR(IF(H281="ND","ND",baoliuxiaoshuwei(((H281-基础页!$B$23)*基础页!$B$16)/C281,2)),"")</f>
        <v/>
      </c>
    </row>
    <row r="282" ht="20.25" customHeight="1" spans="1:9">
      <c r="A282" s="3"/>
      <c r="I282" s="5" t="str">
        <f>IFERROR(IF(H282="ND","ND",baoliuxiaoshuwei(((H282-基础页!$B$23)*基础页!$B$16)/C282,2)),"")</f>
        <v/>
      </c>
    </row>
    <row r="283" ht="20.25" customHeight="1" spans="1:9">
      <c r="A283" s="3"/>
      <c r="I283" s="5" t="str">
        <f>IFERROR(IF(H283="ND","ND",baoliuxiaoshuwei(((H283-基础页!$B$23)*基础页!$B$16)/C283,2)),"")</f>
        <v/>
      </c>
    </row>
    <row r="284" ht="20.25" customHeight="1" spans="1:9">
      <c r="A284" s="3"/>
      <c r="I284" s="5" t="str">
        <f>IFERROR(IF(H284="ND","ND",baoliuxiaoshuwei(((H284-基础页!$B$23)*基础页!$B$16)/C284,2)),"")</f>
        <v/>
      </c>
    </row>
    <row r="285" ht="20.25" customHeight="1" spans="1:9">
      <c r="A285" s="3"/>
      <c r="I285" s="5" t="str">
        <f>IFERROR(IF(H285="ND","ND",baoliuxiaoshuwei(((H285-基础页!$B$23)*基础页!$B$16)/C285,2)),"")</f>
        <v/>
      </c>
    </row>
    <row r="286" ht="20.25" customHeight="1" spans="1:9">
      <c r="A286" s="3"/>
      <c r="I286" s="5" t="str">
        <f>IFERROR(IF(H286="ND","ND",baoliuxiaoshuwei(((H286-基础页!$B$23)*基础页!$B$16)/C286,2)),"")</f>
        <v/>
      </c>
    </row>
    <row r="287" ht="20.25" customHeight="1" spans="1:9">
      <c r="A287" s="3"/>
      <c r="I287" s="5" t="str">
        <f>IFERROR(IF(H287="ND","ND",baoliuxiaoshuwei(((H287-基础页!$B$23)*基础页!$B$16)/C287,2)),"")</f>
        <v/>
      </c>
    </row>
    <row r="288" ht="20.25" customHeight="1" spans="1:9">
      <c r="A288" s="3"/>
      <c r="I288" s="5" t="str">
        <f>IFERROR(IF(H288="ND","ND",baoliuxiaoshuwei(((H288-基础页!$B$23)*基础页!$B$16)/C288,2)),"")</f>
        <v/>
      </c>
    </row>
    <row r="289" ht="20.25" customHeight="1" spans="1:9">
      <c r="A289" s="3"/>
      <c r="I289" s="5" t="str">
        <f>IFERROR(IF(H289="ND","ND",baoliuxiaoshuwei(((H289-基础页!$B$23)*基础页!$B$16)/C289,2)),"")</f>
        <v/>
      </c>
    </row>
    <row r="290" ht="20.25" customHeight="1" spans="1:9">
      <c r="A290" s="3"/>
      <c r="I290" s="5" t="str">
        <f>IFERROR(IF(H290="ND","ND",baoliuxiaoshuwei(((H290-基础页!$B$23)*基础页!$B$16)/C290,2)),"")</f>
        <v/>
      </c>
    </row>
    <row r="291" ht="20.25" customHeight="1" spans="1:9">
      <c r="A291" s="3"/>
      <c r="I291" s="5" t="str">
        <f>IFERROR(IF(H291="ND","ND",baoliuxiaoshuwei(((H291-基础页!$B$23)*基础页!$B$16)/C291,2)),"")</f>
        <v/>
      </c>
    </row>
    <row r="292" ht="20.25" customHeight="1" spans="1:9">
      <c r="A292" s="3"/>
      <c r="I292" s="5" t="str">
        <f>IFERROR(IF(H292="ND","ND",baoliuxiaoshuwei(((H292-基础页!$B$23)*基础页!$B$16)/C292,2)),"")</f>
        <v/>
      </c>
    </row>
    <row r="293" ht="20.25" customHeight="1" spans="1:9">
      <c r="A293" s="3"/>
      <c r="I293" s="5" t="str">
        <f>IFERROR(IF(H293="ND","ND",baoliuxiaoshuwei(((H293-基础页!$B$23)*基础页!$B$16)/C293,2)),"")</f>
        <v/>
      </c>
    </row>
    <row r="294" ht="20.25" customHeight="1" spans="1:9">
      <c r="A294" s="3"/>
      <c r="I294" s="5" t="str">
        <f>IFERROR(IF(H294="ND","ND",baoliuxiaoshuwei(((H294-基础页!$B$23)*基础页!$B$16)/C294,2)),"")</f>
        <v/>
      </c>
    </row>
    <row r="295" ht="20.25" customHeight="1" spans="1:9">
      <c r="A295" s="3"/>
      <c r="I295" s="5" t="str">
        <f>IFERROR(IF(H295="ND","ND",baoliuxiaoshuwei(((H295-基础页!$B$23)*基础页!$B$16)/C295,2)),"")</f>
        <v/>
      </c>
    </row>
    <row r="296" ht="20.25" customHeight="1" spans="1:9">
      <c r="A296" s="3"/>
      <c r="I296" s="5" t="str">
        <f>IFERROR(IF(H296="ND","ND",baoliuxiaoshuwei(((H296-基础页!$B$23)*基础页!$B$16)/C296,2)),"")</f>
        <v/>
      </c>
    </row>
    <row r="297" ht="20.25" customHeight="1" spans="1:9">
      <c r="A297" s="3"/>
      <c r="I297" s="5" t="str">
        <f>IFERROR(IF(H297="ND","ND",baoliuxiaoshuwei(((H297-基础页!$B$23)*基础页!$B$16)/C297,2)),"")</f>
        <v/>
      </c>
    </row>
    <row r="298" ht="20.25" customHeight="1" spans="1:9">
      <c r="A298" s="3"/>
      <c r="I298" s="5" t="str">
        <f>IFERROR(IF(H298="ND","ND",baoliuxiaoshuwei(((H298-基础页!$B$23)*基础页!$B$16)/C298,2)),"")</f>
        <v/>
      </c>
    </row>
    <row r="299" ht="20.25" customHeight="1" spans="1:9">
      <c r="A299" s="3"/>
      <c r="I299" s="5" t="str">
        <f>IFERROR(IF(H299="ND","ND",baoliuxiaoshuwei(((H299-基础页!$B$23)*基础页!$B$16)/C299,2)),"")</f>
        <v/>
      </c>
    </row>
    <row r="300" ht="20.25" customHeight="1" spans="1:9">
      <c r="A300" s="3"/>
      <c r="I300" s="5" t="str">
        <f>IFERROR(IF(H300="ND","ND",baoliuxiaoshuwei(((H300-基础页!$B$23)*基础页!$B$16)/C300,2)),"")</f>
        <v/>
      </c>
    </row>
    <row r="301" ht="20.25" customHeight="1" spans="1:9">
      <c r="A301" s="3"/>
      <c r="I301" s="5" t="str">
        <f>IFERROR(IF(H301="ND","ND",baoliuxiaoshuwei(((H301-基础页!$B$23)*基础页!$B$16)/C301,2)),"")</f>
        <v/>
      </c>
    </row>
    <row r="302" ht="20.25" customHeight="1" spans="1:9">
      <c r="A302" s="3"/>
      <c r="I302" s="5" t="str">
        <f>IFERROR(IF(H302="ND","ND",baoliuxiaoshuwei(((H302-基础页!$B$23)*基础页!$B$16)/C302,2)),"")</f>
        <v/>
      </c>
    </row>
    <row r="303" ht="20.25" customHeight="1" spans="1:9">
      <c r="A303" s="3"/>
      <c r="I303" s="5" t="str">
        <f>IFERROR(IF(H303="ND","ND",baoliuxiaoshuwei(((H303-基础页!$B$23)*基础页!$B$16)/C303,2)),"")</f>
        <v/>
      </c>
    </row>
    <row r="304" ht="20.25" customHeight="1" spans="1:9">
      <c r="A304" s="3"/>
      <c r="I304" s="5" t="str">
        <f>IFERROR(IF(H304="ND","ND",baoliuxiaoshuwei(((H304-基础页!$B$23)*基础页!$B$16)/C304,2)),"")</f>
        <v/>
      </c>
    </row>
    <row r="305" ht="20.25" customHeight="1" spans="1:9">
      <c r="A305" s="3"/>
      <c r="I305" s="5" t="str">
        <f>IFERROR(IF(H305="ND","ND",baoliuxiaoshuwei(((H305-基础页!$B$23)*基础页!$B$16)/C305,2)),"")</f>
        <v/>
      </c>
    </row>
    <row r="306" ht="20.25" customHeight="1" spans="1:9">
      <c r="A306" s="3"/>
      <c r="I306" s="5" t="str">
        <f>IFERROR(IF(H306="ND","ND",baoliuxiaoshuwei(((H306-基础页!$B$23)*基础页!$B$16)/C306,2)),"")</f>
        <v/>
      </c>
    </row>
    <row r="307" ht="20.25" customHeight="1" spans="1:9">
      <c r="A307" s="3"/>
      <c r="I307" s="5" t="str">
        <f>IFERROR(IF(H307="ND","ND",baoliuxiaoshuwei(((H307-基础页!$B$23)*基础页!$B$16)/C307,2)),"")</f>
        <v/>
      </c>
    </row>
    <row r="308" ht="20.25" customHeight="1" spans="1:9">
      <c r="A308" s="3"/>
      <c r="I308" s="5" t="str">
        <f>IFERROR(IF(H308="ND","ND",baoliuxiaoshuwei(((H308-基础页!$B$23)*基础页!$B$16)/C308,2)),"")</f>
        <v/>
      </c>
    </row>
    <row r="309" ht="20.25" customHeight="1" spans="1:9">
      <c r="A309" s="3"/>
      <c r="I309" s="5" t="str">
        <f>IFERROR(IF(H309="ND","ND",baoliuxiaoshuwei(((H309-基础页!$B$23)*基础页!$B$16)/C309,2)),"")</f>
        <v/>
      </c>
    </row>
    <row r="310" ht="20.25" customHeight="1" spans="1:9">
      <c r="A310" s="3"/>
      <c r="I310" s="5" t="str">
        <f>IFERROR(IF(H310="ND","ND",baoliuxiaoshuwei(((H310-基础页!$B$23)*基础页!$B$16)/C310,2)),"")</f>
        <v/>
      </c>
    </row>
    <row r="311" ht="20.25" customHeight="1" spans="1:9">
      <c r="A311" s="3"/>
      <c r="I311" s="5" t="str">
        <f>IFERROR(IF(H311="ND","ND",baoliuxiaoshuwei(((H311-基础页!$B$23)*基础页!$B$16)/C311,2)),"")</f>
        <v/>
      </c>
    </row>
    <row r="312" ht="20.25" customHeight="1" spans="1:9">
      <c r="A312" s="3"/>
      <c r="I312" s="5" t="str">
        <f>IFERROR(IF(H312="ND","ND",baoliuxiaoshuwei(((H312-基础页!$B$23)*基础页!$B$16)/C312,2)),"")</f>
        <v/>
      </c>
    </row>
    <row r="313" ht="20.25" customHeight="1" spans="1:9">
      <c r="A313" s="3"/>
      <c r="I313" s="5" t="str">
        <f>IFERROR(IF(H313="ND","ND",baoliuxiaoshuwei(((H313-基础页!$B$23)*基础页!$B$16)/C313,2)),"")</f>
        <v/>
      </c>
    </row>
    <row r="314" ht="20.25" customHeight="1" spans="1:9">
      <c r="A314" s="3"/>
      <c r="I314" s="5" t="str">
        <f>IFERROR(IF(H314="ND","ND",baoliuxiaoshuwei(((H314-基础页!$B$23)*基础页!$B$16)/C314,2)),"")</f>
        <v/>
      </c>
    </row>
    <row r="315" ht="20.25" customHeight="1" spans="1:9">
      <c r="A315" s="3"/>
      <c r="I315" s="5" t="str">
        <f>IFERROR(IF(H315="ND","ND",baoliuxiaoshuwei(((H315-基础页!$B$23)*基础页!$B$16)/C315,2)),"")</f>
        <v/>
      </c>
    </row>
    <row r="316" ht="20.25" customHeight="1" spans="1:9">
      <c r="A316" s="3"/>
      <c r="I316" s="5" t="str">
        <f>IFERROR(IF(H316="ND","ND",baoliuxiaoshuwei(((H316-基础页!$B$23)*基础页!$B$16)/C316,2)),"")</f>
        <v/>
      </c>
    </row>
    <row r="317" ht="20.25" customHeight="1" spans="1:9">
      <c r="A317" s="3"/>
      <c r="I317" s="5" t="str">
        <f>IFERROR(IF(H317="ND","ND",baoliuxiaoshuwei(((H317-基础页!$B$23)*基础页!$B$16)/C317,2)),"")</f>
        <v/>
      </c>
    </row>
    <row r="318" ht="20.25" customHeight="1" spans="1:9">
      <c r="A318" s="3"/>
      <c r="I318" s="5" t="str">
        <f>IFERROR(IF(H318="ND","ND",baoliuxiaoshuwei(((H318-基础页!$B$23)*基础页!$B$16)/C318,2)),"")</f>
        <v/>
      </c>
    </row>
    <row r="319" ht="20.25" customHeight="1" spans="1:9">
      <c r="A319" s="3"/>
      <c r="I319" s="5" t="str">
        <f>IFERROR(IF(H319="ND","ND",baoliuxiaoshuwei(((H319-基础页!$B$23)*基础页!$B$16)/C319,2)),"")</f>
        <v/>
      </c>
    </row>
    <row r="320" ht="20.25" customHeight="1" spans="1:9">
      <c r="A320" s="3"/>
      <c r="I320" s="5" t="str">
        <f>IFERROR(IF(H320="ND","ND",baoliuxiaoshuwei(((H320-基础页!$B$23)*基础页!$B$16)/C320,2)),"")</f>
        <v/>
      </c>
    </row>
    <row r="321" ht="20.25" customHeight="1" spans="1:9">
      <c r="A321" s="3"/>
      <c r="I321" s="5" t="str">
        <f>IFERROR(IF(H321="ND","ND",baoliuxiaoshuwei(((H321-基础页!$B$23)*基础页!$B$16)/C321,2)),"")</f>
        <v/>
      </c>
    </row>
    <row r="322" ht="20.25" customHeight="1" spans="1:9">
      <c r="A322" s="3"/>
      <c r="I322" s="5" t="str">
        <f>IFERROR(IF(H322="ND","ND",baoliuxiaoshuwei(((H322-基础页!$B$23)*基础页!$B$16)/C322,2)),"")</f>
        <v/>
      </c>
    </row>
    <row r="323" ht="20.25" customHeight="1" spans="1:9">
      <c r="A323" s="3"/>
      <c r="I323" s="5" t="str">
        <f>IFERROR(IF(H323="ND","ND",baoliuxiaoshuwei(((H323-基础页!$B$23)*基础页!$B$16)/C323,2)),"")</f>
        <v/>
      </c>
    </row>
    <row r="324" ht="20.25" customHeight="1" spans="1:9">
      <c r="A324" s="3"/>
      <c r="I324" s="5" t="str">
        <f>IFERROR(IF(H324="ND","ND",baoliuxiaoshuwei(((H324-基础页!$B$23)*基础页!$B$16)/C324,2)),"")</f>
        <v/>
      </c>
    </row>
    <row r="325" ht="20.25" customHeight="1" spans="1:9">
      <c r="A325" s="3"/>
      <c r="I325" s="5" t="str">
        <f>IFERROR(IF(H325="ND","ND",baoliuxiaoshuwei(((H325-基础页!$B$23)*基础页!$B$16)/C325,2)),"")</f>
        <v/>
      </c>
    </row>
    <row r="326" ht="20.25" customHeight="1" spans="1:9">
      <c r="A326" s="3"/>
      <c r="I326" s="5" t="str">
        <f>IFERROR(IF(H326="ND","ND",baoliuxiaoshuwei(((H326-基础页!$B$23)*基础页!$B$16)/C326,2)),"")</f>
        <v/>
      </c>
    </row>
    <row r="327" ht="20.25" customHeight="1" spans="1:9">
      <c r="A327" s="3"/>
      <c r="I327" s="5" t="str">
        <f>IFERROR(IF(H327="ND","ND",baoliuxiaoshuwei(((H327-基础页!$B$23)*基础页!$B$16)/C327,2)),"")</f>
        <v/>
      </c>
    </row>
    <row r="328" ht="20.25" customHeight="1" spans="1:9">
      <c r="A328" s="3"/>
      <c r="I328" s="5" t="str">
        <f>IFERROR(IF(H328="ND","ND",baoliuxiaoshuwei(((H328-基础页!$B$23)*基础页!$B$16)/C328,2)),"")</f>
        <v/>
      </c>
    </row>
    <row r="329" ht="20.25" customHeight="1" spans="1:9">
      <c r="A329" s="3"/>
      <c r="I329" s="5" t="str">
        <f>IFERROR(IF(H329="ND","ND",baoliuxiaoshuwei(((H329-基础页!$B$23)*基础页!$B$16)/C329,2)),"")</f>
        <v/>
      </c>
    </row>
    <row r="330" ht="20.25" customHeight="1" spans="1:1">
      <c r="A330" s="3"/>
    </row>
    <row r="331" ht="20.25" customHeight="1" spans="1:1">
      <c r="A331" s="3"/>
    </row>
    <row r="332" ht="20.25" customHeight="1" spans="1:1">
      <c r="A332" s="3"/>
    </row>
    <row r="333" ht="20.25" customHeight="1" spans="1:1">
      <c r="A333" s="3"/>
    </row>
    <row r="334" ht="20.25" customHeight="1" spans="1:1">
      <c r="A334" s="3"/>
    </row>
    <row r="335" ht="20.25" customHeight="1" spans="1:1">
      <c r="A335" s="3"/>
    </row>
    <row r="336" ht="20.25" customHeight="1" spans="1:1">
      <c r="A336" s="3"/>
    </row>
    <row r="337" ht="20.25" customHeight="1" spans="1:1">
      <c r="A337" s="3"/>
    </row>
    <row r="338" ht="20.25" customHeight="1" spans="1:1">
      <c r="A338" s="3"/>
    </row>
    <row r="339" ht="20.25" customHeight="1" spans="1:1">
      <c r="A339" s="3"/>
    </row>
    <row r="340" ht="20.25" customHeight="1" spans="1:1">
      <c r="A340" s="3"/>
    </row>
    <row r="341" ht="20.25" customHeight="1" spans="1:1">
      <c r="A341" s="3"/>
    </row>
    <row r="342" ht="20.25" customHeight="1" spans="1:1">
      <c r="A342" s="3"/>
    </row>
    <row r="343" ht="20.25" customHeight="1" spans="1:1">
      <c r="A343" s="3"/>
    </row>
    <row r="344" ht="20.25" customHeight="1" spans="1:1">
      <c r="A344" s="3"/>
    </row>
    <row r="345" ht="20.25" customHeight="1" spans="1:1">
      <c r="A345" s="3"/>
    </row>
    <row r="346" ht="20.25" customHeight="1" spans="1:1">
      <c r="A346" s="3"/>
    </row>
    <row r="347" ht="20.25" customHeight="1" spans="1:1">
      <c r="A347" s="3"/>
    </row>
    <row r="348" ht="20.25" customHeight="1" spans="1:1">
      <c r="A348" s="3"/>
    </row>
    <row r="349" ht="20.25" customHeight="1" spans="1:1">
      <c r="A349" s="3"/>
    </row>
    <row r="350" ht="20.25" customHeight="1" spans="1:1">
      <c r="A350" s="3"/>
    </row>
    <row r="351" ht="20.25" customHeight="1" spans="1:1">
      <c r="A351" s="3"/>
    </row>
    <row r="352" ht="20.25" customHeight="1" spans="1:1">
      <c r="A352" s="3"/>
    </row>
    <row r="353" ht="20.25" customHeight="1" spans="1:1">
      <c r="A353" s="3"/>
    </row>
    <row r="354" ht="20.25" customHeight="1" spans="1:1">
      <c r="A354" s="3"/>
    </row>
    <row r="355" ht="20.25" customHeight="1" spans="1:1">
      <c r="A355" s="3"/>
    </row>
    <row r="356" ht="20.25" customHeight="1" spans="1:1">
      <c r="A356" s="3"/>
    </row>
    <row r="357" ht="20.25" customHeight="1" spans="1:1">
      <c r="A357" s="3"/>
    </row>
    <row r="358" ht="20.25" customHeight="1" spans="1:1">
      <c r="A358" s="3"/>
    </row>
    <row r="359" ht="20.25" customHeight="1" spans="1:1">
      <c r="A359" s="3"/>
    </row>
    <row r="360" ht="20.25" customHeight="1" spans="1:1">
      <c r="A360" s="3"/>
    </row>
    <row r="361" ht="20.25" customHeight="1" spans="1:1">
      <c r="A361" s="3"/>
    </row>
    <row r="362" ht="20.25" customHeight="1" spans="1:1">
      <c r="A362" s="3"/>
    </row>
    <row r="363" ht="20.25" customHeight="1" spans="1:1">
      <c r="A363" s="3"/>
    </row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7"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