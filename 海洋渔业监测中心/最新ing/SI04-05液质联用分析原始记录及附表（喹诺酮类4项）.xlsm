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Password="E9CD" lockStructure="1"/>
  <bookViews>
    <workbookView windowWidth="22943" windowHeight="10308"/>
  </bookViews>
  <sheets>
    <sheet name="基础页" sheetId="5" r:id="rId1"/>
    <sheet name="分析记录" sheetId="10" r:id="rId2"/>
  </sheets>
  <calcPr calcId="144525"/>
</workbook>
</file>

<file path=xl/sharedStrings.xml><?xml version="1.0" encoding="utf-8"?>
<sst xmlns="http://schemas.openxmlformats.org/spreadsheetml/2006/main" count="91">
  <si>
    <r>
      <rPr>
        <b/>
        <sz val="11"/>
        <color theme="0"/>
        <rFont val="宋体"/>
        <charset val="134"/>
      </rPr>
      <t>基本信息</t>
    </r>
  </si>
  <si>
    <t xml:space="preserve"> </t>
  </si>
  <si>
    <r>
      <rPr>
        <sz val="11"/>
        <color theme="0" tint="-0.0499893185216834"/>
        <rFont val="宋体"/>
        <charset val="134"/>
      </rPr>
      <t>超高效液相色谱仪</t>
    </r>
    <r>
      <rPr>
        <sz val="11"/>
        <color theme="0" tint="-0.0499893185216834"/>
        <rFont val="Times New Roman"/>
        <charset val="134"/>
      </rPr>
      <t>AS274</t>
    </r>
  </si>
  <si>
    <t>Waters H-Class</t>
  </si>
  <si>
    <t>模板编号</t>
  </si>
  <si>
    <t>科学</t>
  </si>
  <si>
    <t>严谨</t>
  </si>
  <si>
    <r>
      <rPr>
        <sz val="11"/>
        <color theme="0" tint="-0.0499893185216834"/>
        <rFont val="宋体"/>
        <charset val="134"/>
      </rPr>
      <t>快速液相色谱仪</t>
    </r>
    <r>
      <rPr>
        <sz val="11"/>
        <color theme="0" tint="-0.0499893185216834"/>
        <rFont val="Times New Roman"/>
        <charset val="134"/>
      </rPr>
      <t>AS381</t>
    </r>
  </si>
  <si>
    <t>LC-20A</t>
  </si>
  <si>
    <t>任务号</t>
  </si>
  <si>
    <r>
      <rPr>
        <sz val="11"/>
        <color theme="0" tint="-0.0499893185216834"/>
        <rFont val="宋体"/>
        <charset val="134"/>
      </rPr>
      <t>高效液相色谱质谱联用仪</t>
    </r>
    <r>
      <rPr>
        <sz val="11"/>
        <color theme="0" tint="-0.0499893185216834"/>
        <rFont val="Times New Roman"/>
        <charset val="134"/>
      </rPr>
      <t>AS517</t>
    </r>
  </si>
  <si>
    <t>LCMS-8050</t>
  </si>
  <si>
    <t>任务名称</t>
  </si>
  <si>
    <r>
      <rPr>
        <sz val="11"/>
        <color theme="0" tint="-0.0499893185216834"/>
        <rFont val="宋体"/>
        <charset val="134"/>
      </rPr>
      <t>液</t>
    </r>
    <r>
      <rPr>
        <sz val="11"/>
        <color theme="0" tint="-0.0499893185216834"/>
        <rFont val="Times New Roman"/>
        <charset val="134"/>
      </rPr>
      <t>-</t>
    </r>
    <r>
      <rPr>
        <sz val="11"/>
        <color theme="0" tint="-0.0499893185216834"/>
        <rFont val="宋体"/>
        <charset val="134"/>
      </rPr>
      <t>质</t>
    </r>
    <r>
      <rPr>
        <sz val="11"/>
        <color theme="0" tint="-0.0499893185216834"/>
        <rFont val="Times New Roman"/>
        <charset val="134"/>
      </rPr>
      <t>-</t>
    </r>
    <r>
      <rPr>
        <sz val="11"/>
        <color theme="0" tint="-0.0499893185216834"/>
        <rFont val="宋体"/>
        <charset val="134"/>
      </rPr>
      <t>质谱联用仪</t>
    </r>
    <r>
      <rPr>
        <sz val="11"/>
        <color theme="0" tint="-0.0499893185216834"/>
        <rFont val="Times New Roman"/>
        <charset val="134"/>
      </rPr>
      <t>AS347</t>
    </r>
  </si>
  <si>
    <t>AB Sciex Triple Quad 5500</t>
  </si>
  <si>
    <t>检测项目</t>
  </si>
  <si>
    <t>安全</t>
  </si>
  <si>
    <t>高效</t>
  </si>
  <si>
    <t>检测日期</t>
  </si>
  <si>
    <t>样品类别</t>
  </si>
  <si>
    <t>水产品</t>
  </si>
  <si>
    <t>检测地点</t>
  </si>
  <si>
    <t>301室</t>
  </si>
  <si>
    <t>检测方法</t>
  </si>
  <si>
    <t>农业部1077号公告-1-2008</t>
  </si>
  <si>
    <t>温度(℃)</t>
  </si>
  <si>
    <t>湿度(%)</t>
  </si>
  <si>
    <r>
      <rPr>
        <b/>
        <sz val="11"/>
        <color theme="1"/>
        <rFont val="宋体"/>
        <charset val="134"/>
      </rPr>
      <t>说明：</t>
    </r>
  </si>
  <si>
    <r>
      <rPr>
        <sz val="11"/>
        <color theme="1"/>
        <rFont val="宋体"/>
        <charset val="134"/>
      </rPr>
      <t>检出限(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g/kg)</t>
    </r>
  </si>
  <si>
    <t xml:space="preserve">各单体均为1.0 </t>
  </si>
  <si>
    <r>
      <rPr>
        <sz val="11"/>
        <color rgb="FFFF0000"/>
        <rFont val="宋体"/>
        <charset val="134"/>
      </rPr>
      <t>为不需要填写</t>
    </r>
  </si>
  <si>
    <r>
      <rPr>
        <sz val="11"/>
        <color theme="1"/>
        <rFont val="宋体"/>
        <charset val="134"/>
      </rPr>
      <t>定量限(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g/kg)</t>
    </r>
  </si>
  <si>
    <t xml:space="preserve">各单体均为2.0 </t>
  </si>
  <si>
    <r>
      <rPr>
        <sz val="11"/>
        <color rgb="FFFF0000"/>
        <rFont val="宋体"/>
        <charset val="134"/>
      </rPr>
      <t>为质控模块</t>
    </r>
  </si>
  <si>
    <t>仪器名称及编号</t>
  </si>
  <si>
    <t>液-质-质谱联用仪AS347</t>
  </si>
  <si>
    <t>仪器型号</t>
  </si>
  <si>
    <t>天平编号</t>
  </si>
  <si>
    <r>
      <rPr>
        <sz val="11"/>
        <color theme="1"/>
        <rFont val="宋体"/>
        <charset val="134"/>
      </rPr>
      <t>定容体积V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(mL)</t>
    </r>
  </si>
  <si>
    <t>色谱条件</t>
  </si>
  <si>
    <t>色谱柱</t>
  </si>
  <si>
    <r>
      <rPr>
        <sz val="11"/>
        <color theme="1"/>
        <rFont val="Times New Roman"/>
        <charset val="134"/>
      </rPr>
      <t>BEH C</t>
    </r>
    <r>
      <rPr>
        <vertAlign val="subscript"/>
        <sz val="11"/>
        <color theme="1"/>
        <rFont val="Times New Roman"/>
        <charset val="134"/>
      </rPr>
      <t>18</t>
    </r>
    <r>
      <rPr>
        <sz val="11"/>
        <color theme="1"/>
        <rFont val="Times New Roman"/>
        <charset val="134"/>
      </rPr>
      <t xml:space="preserve">
2.1 mm×50 mm
</t>
    </r>
    <r>
      <rPr>
        <sz val="11"/>
        <color theme="1"/>
        <rFont val="微软雅黑"/>
        <charset val="134"/>
      </rPr>
      <t>粒径</t>
    </r>
    <r>
      <rPr>
        <sz val="11"/>
        <color theme="1"/>
        <rFont val="Times New Roman"/>
        <charset val="134"/>
      </rPr>
      <t>1.7 μm</t>
    </r>
  </si>
  <si>
    <t>柱温(℃)</t>
  </si>
  <si>
    <t>流动相</t>
  </si>
  <si>
    <r>
      <rPr>
        <sz val="11"/>
        <color theme="1"/>
        <rFont val="宋体"/>
        <charset val="134"/>
      </rPr>
      <t>A:0.1%HCOOH（含5.0 mmol/L醋酸铵）  
 B:CH</t>
    </r>
    <r>
      <rPr>
        <vertAlign val="subscript"/>
        <sz val="11"/>
        <color theme="1"/>
        <rFont val="宋体"/>
        <charset val="134"/>
      </rPr>
      <t>3</t>
    </r>
    <r>
      <rPr>
        <sz val="11"/>
        <color theme="1"/>
        <rFont val="宋体"/>
        <charset val="134"/>
      </rPr>
      <t>CN</t>
    </r>
  </si>
  <si>
    <t>洗脱程序</t>
  </si>
  <si>
    <r>
      <rPr>
        <sz val="11"/>
        <color theme="1"/>
        <rFont val="Times New Roman"/>
        <charset val="134"/>
      </rPr>
      <t>0~5min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相由</t>
    </r>
    <r>
      <rPr>
        <sz val="11"/>
        <color theme="1"/>
        <rFont val="Times New Roman"/>
        <charset val="134"/>
      </rPr>
      <t>10%</t>
    </r>
    <r>
      <rPr>
        <sz val="11"/>
        <color theme="1"/>
        <rFont val="微软雅黑"/>
        <charset val="134"/>
      </rPr>
      <t>增加至</t>
    </r>
    <r>
      <rPr>
        <sz val="11"/>
        <color theme="1"/>
        <rFont val="Times New Roman"/>
        <charset val="134"/>
      </rPr>
      <t>20%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5~7min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相为</t>
    </r>
    <r>
      <rPr>
        <sz val="11"/>
        <color theme="1"/>
        <rFont val="Times New Roman"/>
        <charset val="134"/>
      </rPr>
      <t>90%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7~9min</t>
    </r>
    <r>
      <rPr>
        <sz val="11"/>
        <color theme="1"/>
        <rFont val="微软雅黑"/>
        <charset val="134"/>
      </rPr>
      <t>，</t>
    </r>
    <r>
      <rPr>
        <sz val="11"/>
        <color theme="1"/>
        <rFont val="Times New Roman"/>
        <charset val="134"/>
      </rPr>
      <t>B</t>
    </r>
    <r>
      <rPr>
        <sz val="11"/>
        <color theme="1"/>
        <rFont val="微软雅黑"/>
        <charset val="134"/>
      </rPr>
      <t>相为</t>
    </r>
    <r>
      <rPr>
        <sz val="11"/>
        <color theme="1"/>
        <rFont val="Times New Roman"/>
        <charset val="134"/>
      </rPr>
      <t>10%</t>
    </r>
    <r>
      <rPr>
        <sz val="11"/>
        <color theme="1"/>
        <rFont val="微软雅黑"/>
        <charset val="134"/>
      </rPr>
      <t>。</t>
    </r>
  </si>
  <si>
    <t>流速(mL/min)</t>
  </si>
  <si>
    <r>
      <rPr>
        <sz val="11"/>
        <color theme="1"/>
        <rFont val="宋体"/>
        <charset val="134"/>
      </rPr>
      <t>进样体积(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L)</t>
    </r>
  </si>
  <si>
    <t>质谱条件</t>
  </si>
  <si>
    <t>离子化模式</t>
  </si>
  <si>
    <r>
      <rPr>
        <sz val="11"/>
        <color theme="1"/>
        <rFont val="微软雅黑"/>
        <charset val="134"/>
      </rPr>
      <t>电喷雾离子源</t>
    </r>
    <r>
      <rPr>
        <sz val="11"/>
        <color theme="1"/>
        <rFont val="Times New Roman"/>
        <charset val="134"/>
      </rPr>
      <t xml:space="preserve">
</t>
    </r>
    <r>
      <rPr>
        <sz val="11"/>
        <color theme="1"/>
        <rFont val="微软雅黑"/>
        <charset val="134"/>
      </rPr>
      <t>正离子模式</t>
    </r>
  </si>
  <si>
    <t>扫描模式</t>
  </si>
  <si>
    <t>MRM</t>
  </si>
  <si>
    <t>定性定量
离子对</t>
  </si>
  <si>
    <r>
      <rPr>
        <sz val="11"/>
        <color theme="1"/>
        <rFont val="微软雅黑"/>
        <charset val="134"/>
      </rPr>
      <t>诺氟沙星：</t>
    </r>
    <r>
      <rPr>
        <sz val="11"/>
        <color theme="1"/>
        <rFont val="Times New Roman"/>
        <charset val="134"/>
      </rPr>
      <t>320→276*, 320→233</t>
    </r>
    <r>
      <rPr>
        <sz val="11"/>
        <color theme="1"/>
        <rFont val="微软雅黑"/>
        <charset val="134"/>
      </rPr>
      <t>；氧氟沙星：</t>
    </r>
    <r>
      <rPr>
        <sz val="11"/>
        <color theme="1"/>
        <rFont val="Times New Roman"/>
        <charset val="134"/>
      </rPr>
      <t>362→318*, 362→261</t>
    </r>
    <r>
      <rPr>
        <sz val="11"/>
        <color theme="1"/>
        <rFont val="微软雅黑"/>
        <charset val="134"/>
      </rPr>
      <t>；</t>
    </r>
    <r>
      <rPr>
        <sz val="11"/>
        <color theme="1"/>
        <rFont val="Times New Roman"/>
        <charset val="134"/>
      </rPr>
      <t xml:space="preserve">
</t>
    </r>
    <r>
      <rPr>
        <sz val="11"/>
        <color theme="1"/>
        <rFont val="微软雅黑"/>
        <charset val="134"/>
      </rPr>
      <t>培氟沙星：</t>
    </r>
    <r>
      <rPr>
        <sz val="11"/>
        <color theme="1"/>
        <rFont val="Times New Roman"/>
        <charset val="134"/>
      </rPr>
      <t>334→316*, 334→290</t>
    </r>
    <r>
      <rPr>
        <sz val="11"/>
        <color theme="1"/>
        <rFont val="微软雅黑"/>
        <charset val="134"/>
      </rPr>
      <t>；洛美沙星：</t>
    </r>
    <r>
      <rPr>
        <sz val="11"/>
        <color theme="1"/>
        <rFont val="Times New Roman"/>
        <charset val="134"/>
      </rPr>
      <t>352→265*, 352→308</t>
    </r>
  </si>
  <si>
    <t>标准溶液</t>
  </si>
  <si>
    <r>
      <rPr>
        <sz val="11"/>
        <color theme="1"/>
        <rFont val="宋体"/>
        <charset val="134"/>
      </rPr>
      <t>标准工作溶液浓度(ng</t>
    </r>
    <r>
      <rPr>
        <sz val="11"/>
        <color theme="1"/>
        <rFont val="宋体"/>
        <charset val="134"/>
      </rPr>
      <t>/mL</t>
    </r>
    <r>
      <rPr>
        <sz val="11"/>
        <color theme="1"/>
        <rFont val="宋体"/>
        <charset val="134"/>
      </rPr>
      <t>)</t>
    </r>
  </si>
  <si>
    <t>标准工作液编号</t>
  </si>
  <si>
    <t>内标及
加入量</t>
  </si>
  <si>
    <t>诺氟沙星-D5</t>
  </si>
  <si>
    <t>标准工作液有
效期</t>
  </si>
  <si>
    <t>环丙沙星-D8</t>
  </si>
  <si>
    <t>恩诺沙星-D5</t>
  </si>
  <si>
    <r>
      <rPr>
        <sz val="11"/>
        <color theme="1"/>
        <rFont val="宋体"/>
        <charset val="134"/>
      </rPr>
      <t>试剂空白C</t>
    </r>
    <r>
      <rPr>
        <vertAlign val="subscript"/>
        <sz val="11"/>
        <color theme="1"/>
        <rFont val="宋体"/>
        <charset val="134"/>
      </rPr>
      <t>0</t>
    </r>
  </si>
  <si>
    <t>计算公式</t>
  </si>
  <si>
    <r>
      <rPr>
        <sz val="11"/>
        <color theme="1"/>
        <rFont val="宋体"/>
        <charset val="134"/>
      </rPr>
      <t>X=(C</t>
    </r>
    <r>
      <rPr>
        <vertAlign val="subscript"/>
        <sz val="11"/>
        <color theme="1"/>
        <rFont val="宋体"/>
        <charset val="134"/>
      </rPr>
      <t>S</t>
    </r>
    <r>
      <rPr>
        <sz val="11"/>
        <color theme="1"/>
        <rFont val="宋体"/>
        <charset val="134"/>
      </rPr>
      <t>-C</t>
    </r>
    <r>
      <rPr>
        <vertAlign val="subscript"/>
        <sz val="11"/>
        <color theme="1"/>
        <rFont val="宋体"/>
        <charset val="134"/>
      </rPr>
      <t>O</t>
    </r>
    <r>
      <rPr>
        <sz val="11"/>
        <color theme="1"/>
        <rFont val="宋体"/>
        <charset val="134"/>
      </rPr>
      <t>)×V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÷m</t>
    </r>
  </si>
  <si>
    <t>签名</t>
  </si>
  <si>
    <t>检测人</t>
  </si>
  <si>
    <t>校核人</t>
  </si>
  <si>
    <t>审核人</t>
  </si>
  <si>
    <t>检测信息</t>
  </si>
  <si>
    <t>序号</t>
  </si>
  <si>
    <t>样品编号</t>
  </si>
  <si>
    <t>取样量
m(g)</t>
  </si>
  <si>
    <t>定性判定</t>
  </si>
  <si>
    <t>定量结果</t>
  </si>
  <si>
    <t>质控</t>
  </si>
  <si>
    <t>备注</t>
  </si>
  <si>
    <t>相对离子丰度（%）</t>
  </si>
  <si>
    <t>是否阳性</t>
  </si>
  <si>
    <t>样液
测定结果
Cs（     ）</t>
  </si>
  <si>
    <t>样品
残留量
X（     ）</t>
  </si>
  <si>
    <t>标样
推荐值/加标浓度</t>
  </si>
  <si>
    <r>
      <rPr>
        <sz val="11"/>
        <color theme="1"/>
        <rFont val="宋体"/>
        <charset val="134"/>
      </rPr>
      <t>加标体积</t>
    </r>
    <r>
      <rPr>
        <sz val="11"/>
        <color theme="1"/>
        <rFont val="Times New Roman"/>
        <charset val="134"/>
      </rPr>
      <t xml:space="preserve">
(μL)</t>
    </r>
  </si>
  <si>
    <t>允许值</t>
  </si>
  <si>
    <r>
      <rPr>
        <sz val="11"/>
        <rFont val="宋体"/>
        <charset val="134"/>
      </rPr>
      <t>相对偏差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相对误差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回收率</t>
    </r>
  </si>
  <si>
    <t>结果</t>
  </si>
  <si>
    <t>样品</t>
  </si>
  <si>
    <t>标液</t>
  </si>
  <si>
    <t xml:space="preserve">偏差	</t>
  </si>
</sst>
</file>

<file path=xl/styles.xml><?xml version="1.0" encoding="utf-8"?>
<styleSheet xmlns="http://schemas.openxmlformats.org/spreadsheetml/2006/main">
  <numFmts count="8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6" formatCode="0.0_ "/>
    <numFmt numFmtId="177" formatCode="0.0_ ;[Red]\-0.0\ "/>
    <numFmt numFmtId="178" formatCode="0.0"/>
    <numFmt numFmtId="179" formatCode="0.000"/>
  </numFmts>
  <fonts count="41">
    <font>
      <sz val="11"/>
      <color theme="1"/>
      <name val="宋体"/>
      <charset val="134"/>
      <scheme val="minor"/>
    </font>
    <font>
      <sz val="11"/>
      <color theme="1"/>
      <name val="Times New Roman"/>
      <charset val="134"/>
    </font>
    <font>
      <b/>
      <sz val="11"/>
      <color theme="0"/>
      <name val="宋体"/>
      <charset val="134"/>
    </font>
    <font>
      <sz val="11"/>
      <name val="宋体"/>
      <charset val="134"/>
    </font>
    <font>
      <sz val="12"/>
      <color theme="1"/>
      <name val="宋体"/>
      <charset val="134"/>
      <scheme val="minor"/>
    </font>
    <font>
      <b/>
      <sz val="11"/>
      <color theme="0"/>
      <name val="Times New Roman"/>
      <charset val="134"/>
    </font>
    <font>
      <sz val="11"/>
      <color theme="1"/>
      <name val="宋体"/>
      <charset val="134"/>
    </font>
    <font>
      <sz val="11"/>
      <name val="Times New Roman"/>
      <charset val="134"/>
    </font>
    <font>
      <sz val="36"/>
      <color theme="0"/>
      <name val="华文行楷"/>
      <charset val="134"/>
    </font>
    <font>
      <sz val="36"/>
      <color theme="1"/>
      <name val="华文行楷"/>
      <charset val="134"/>
    </font>
    <font>
      <sz val="48"/>
      <color theme="0"/>
      <name val="华文行楷"/>
      <charset val="134"/>
    </font>
    <font>
      <b/>
      <sz val="11"/>
      <color theme="1"/>
      <name val="Times New Roman"/>
      <charset val="134"/>
    </font>
    <font>
      <sz val="11"/>
      <color rgb="FFFF0000"/>
      <name val="Times New Roman"/>
      <charset val="134"/>
    </font>
    <font>
      <sz val="11"/>
      <color theme="0" tint="-0.0499893185216834"/>
      <name val="Times New Roman"/>
      <charset val="134"/>
    </font>
    <font>
      <sz val="11"/>
      <color theme="0" tint="-0.0499893185216834"/>
      <name val="宋体"/>
      <charset val="134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9C0006"/>
      <name val="宋体"/>
      <charset val="0"/>
      <scheme val="minor"/>
    </font>
    <font>
      <sz val="10"/>
      <name val="Arial"/>
      <charset val="134"/>
    </font>
    <font>
      <sz val="11"/>
      <color rgb="FF3F3F76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9C65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theme="1"/>
      <name val="宋体"/>
      <charset val="134"/>
    </font>
    <font>
      <sz val="11"/>
      <color theme="1"/>
      <name val="Calibri"/>
      <charset val="134"/>
    </font>
    <font>
      <sz val="11"/>
      <color rgb="FFFF0000"/>
      <name val="宋体"/>
      <charset val="134"/>
    </font>
    <font>
      <vertAlign val="subscript"/>
      <sz val="11"/>
      <color theme="1"/>
      <name val="宋体"/>
      <charset val="134"/>
    </font>
    <font>
      <vertAlign val="subscript"/>
      <sz val="11"/>
      <color theme="1"/>
      <name val="Times New Roman"/>
      <charset val="134"/>
    </font>
    <font>
      <sz val="11"/>
      <color theme="1"/>
      <name val="微软雅黑"/>
      <charset val="134"/>
    </font>
  </fonts>
  <fills count="40">
    <fill>
      <patternFill patternType="none"/>
    </fill>
    <fill>
      <patternFill patternType="gray125"/>
    </fill>
    <fill>
      <patternFill patternType="solid">
        <fgColor rgb="FFF5F6F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theme="9" tint="0.799890133365886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rgb="FFF2F3F8"/>
        <bgColor indexed="64"/>
      </patternFill>
    </fill>
    <fill>
      <patternFill patternType="solid">
        <fgColor theme="3" tint="0.399884029663991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C6EFCE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25" fillId="19" borderId="1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0" fillId="25" borderId="13" applyNumberFormat="0" applyFont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7" fillId="0" borderId="9" applyNumberFormat="0" applyFill="0" applyAlignment="0" applyProtection="0">
      <alignment vertical="center"/>
    </xf>
    <xf numFmtId="0" fontId="17" fillId="0" borderId="9" applyNumberFormat="0" applyFill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29" fillId="27" borderId="15" applyNumberFormat="0" applyAlignment="0" applyProtection="0">
      <alignment vertical="center"/>
    </xf>
    <xf numFmtId="0" fontId="33" fillId="27" borderId="11" applyNumberFormat="0" applyAlignment="0" applyProtection="0">
      <alignment vertical="center"/>
    </xf>
    <xf numFmtId="0" fontId="20" fillId="13" borderId="10" applyNumberFormat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26" fillId="0" borderId="12" applyNumberFormat="0" applyFill="0" applyAlignment="0" applyProtection="0">
      <alignment vertical="center"/>
    </xf>
    <xf numFmtId="0" fontId="28" fillId="0" borderId="14" applyNumberFormat="0" applyFill="0" applyAlignment="0" applyProtection="0">
      <alignment vertical="center"/>
    </xf>
    <xf numFmtId="0" fontId="34" fillId="39" borderId="0" applyNumberFormat="0" applyBorder="0" applyAlignment="0" applyProtection="0">
      <alignment vertical="center"/>
    </xf>
    <xf numFmtId="0" fontId="30" fillId="34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6" fillId="11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1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24" fillId="0" borderId="0"/>
  </cellStyleXfs>
  <cellXfs count="106">
    <xf numFmtId="0" fontId="0" fillId="0" borderId="0" xfId="0"/>
    <xf numFmtId="49" fontId="1" fillId="2" borderId="0" xfId="0" applyNumberFormat="1" applyFont="1" applyFill="1" applyBorder="1" applyAlignment="1" applyProtection="1">
      <alignment vertical="center"/>
    </xf>
    <xf numFmtId="49" fontId="1" fillId="2" borderId="0" xfId="0" applyNumberFormat="1" applyFont="1" applyFill="1" applyBorder="1" applyProtection="1"/>
    <xf numFmtId="49" fontId="1" fillId="3" borderId="1" xfId="0" applyNumberFormat="1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6" borderId="2" xfId="49" applyNumberFormat="1" applyFont="1" applyFill="1" applyBorder="1" applyAlignment="1" applyProtection="1">
      <alignment horizontal="left" vertical="center"/>
      <protection locked="0"/>
    </xf>
    <xf numFmtId="49" fontId="3" fillId="7" borderId="3" xfId="0" applyNumberFormat="1" applyFont="1" applyFill="1" applyBorder="1" applyAlignment="1" applyProtection="1">
      <alignment horizontal="center" vertical="center"/>
      <protection locked="0"/>
    </xf>
    <xf numFmtId="49" fontId="3" fillId="7" borderId="3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4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2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5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6" xfId="0" applyNumberFormat="1" applyFont="1" applyFill="1" applyBorder="1" applyAlignment="1" applyProtection="1">
      <alignment horizontal="center" vertical="center"/>
      <protection locked="0"/>
    </xf>
    <xf numFmtId="49" fontId="3" fillId="7" borderId="6" xfId="0" applyNumberFormat="1" applyFont="1" applyFill="1" applyBorder="1" applyAlignment="1" applyProtection="1">
      <alignment horizontal="center" vertical="center" wrapText="1"/>
      <protection locked="0"/>
    </xf>
    <xf numFmtId="0" fontId="3" fillId="7" borderId="3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7" xfId="0" applyNumberFormat="1" applyFont="1" applyFill="1" applyBorder="1" applyAlignment="1" applyProtection="1">
      <alignment horizontal="center" vertical="center"/>
      <protection locked="0"/>
    </xf>
    <xf numFmtId="49" fontId="3" fillId="7" borderId="7" xfId="0" applyNumberFormat="1" applyFont="1" applyFill="1" applyBorder="1" applyAlignment="1" applyProtection="1">
      <alignment horizontal="center" vertical="center" wrapText="1"/>
      <protection locked="0"/>
    </xf>
    <xf numFmtId="0" fontId="4" fillId="7" borderId="0" xfId="0" applyFont="1" applyFill="1" applyAlignment="1">
      <alignment vertical="center"/>
    </xf>
    <xf numFmtId="0" fontId="4" fillId="7" borderId="1" xfId="0" applyFont="1" applyFill="1" applyBorder="1" applyAlignment="1">
      <alignment vertical="center"/>
    </xf>
    <xf numFmtId="0" fontId="3" fillId="7" borderId="7" xfId="0" applyNumberFormat="1" applyFont="1" applyFill="1" applyBorder="1" applyAlignment="1" applyProtection="1">
      <alignment horizontal="center" vertical="center" wrapText="1"/>
      <protection locked="0"/>
    </xf>
    <xf numFmtId="49" fontId="5" fillId="6" borderId="2" xfId="49" applyNumberFormat="1" applyFont="1" applyFill="1" applyBorder="1" applyAlignment="1" applyProtection="1">
      <alignment horizontal="left" vertical="center"/>
      <protection locked="0"/>
    </xf>
    <xf numFmtId="49" fontId="5" fillId="6" borderId="5" xfId="49" applyNumberFormat="1" applyFont="1" applyFill="1" applyBorder="1" applyAlignment="1" applyProtection="1">
      <alignment horizontal="left" vertical="center"/>
      <protection locked="0"/>
    </xf>
    <xf numFmtId="0" fontId="3" fillId="5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6" fillId="5" borderId="1" xfId="0" applyFont="1" applyFill="1" applyBorder="1" applyAlignment="1" applyProtection="1">
      <alignment horizontal="center" vertical="center" wrapText="1"/>
      <protection locked="0"/>
    </xf>
    <xf numFmtId="0" fontId="3" fillId="5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7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7" fillId="5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0" xfId="0" applyNumberFormat="1" applyFont="1" applyFill="1" applyBorder="1" applyAlignment="1" applyProtection="1">
      <alignment horizontal="left" vertical="top"/>
    </xf>
    <xf numFmtId="49" fontId="1" fillId="2" borderId="0" xfId="0" applyNumberFormat="1" applyFont="1" applyFill="1" applyBorder="1" applyAlignment="1" applyProtection="1">
      <alignment horizontal="center"/>
    </xf>
    <xf numFmtId="49" fontId="5" fillId="6" borderId="1" xfId="0" applyNumberFormat="1" applyFont="1" applyFill="1" applyBorder="1" applyAlignment="1" applyProtection="1">
      <alignment horizontal="left" vertical="center"/>
      <protection locked="0"/>
    </xf>
    <xf numFmtId="0" fontId="5" fillId="8" borderId="0" xfId="0" applyNumberFormat="1" applyFont="1" applyFill="1" applyBorder="1" applyAlignment="1" applyProtection="1">
      <alignment horizontal="left" vertical="center"/>
      <protection locked="0"/>
    </xf>
    <xf numFmtId="49" fontId="6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6" fillId="3" borderId="1" xfId="0" applyNumberFormat="1" applyFont="1" applyFill="1" applyBorder="1" applyAlignment="1" applyProtection="1">
      <alignment horizontal="center" vertical="center"/>
      <protection locked="0"/>
    </xf>
    <xf numFmtId="177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6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/>
      <protection locked="0"/>
    </xf>
    <xf numFmtId="49" fontId="1" fillId="4" borderId="4" xfId="0" applyNumberFormat="1" applyFont="1" applyFill="1" applyBorder="1" applyAlignment="1" applyProtection="1">
      <alignment horizontal="left" vertical="center"/>
      <protection locked="0"/>
    </xf>
    <xf numFmtId="49" fontId="1" fillId="4" borderId="2" xfId="0" applyNumberFormat="1" applyFont="1" applyFill="1" applyBorder="1" applyAlignment="1" applyProtection="1">
      <alignment horizontal="left" vertical="center"/>
      <protection locked="0"/>
    </xf>
    <xf numFmtId="49" fontId="1" fillId="4" borderId="5" xfId="0" applyNumberFormat="1" applyFont="1" applyFill="1" applyBorder="1" applyAlignment="1" applyProtection="1">
      <alignment horizontal="left" vertical="center"/>
      <protection locked="0"/>
    </xf>
    <xf numFmtId="49" fontId="6" fillId="4" borderId="1" xfId="0" applyNumberFormat="1" applyFont="1" applyFill="1" applyBorder="1" applyAlignment="1" applyProtection="1">
      <alignment horizontal="right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176" fontId="6" fillId="4" borderId="1" xfId="0" applyNumberFormat="1" applyFont="1" applyFill="1" applyBorder="1" applyAlignment="1" applyProtection="1">
      <alignment horizontal="center" vertical="center" wrapText="1"/>
      <protection locked="0"/>
    </xf>
    <xf numFmtId="176" fontId="1" fillId="4" borderId="1" xfId="0" applyNumberFormat="1" applyFont="1" applyFill="1" applyBorder="1" applyAlignment="1" applyProtection="1">
      <alignment horizontal="center" vertical="center"/>
      <protection locked="0"/>
    </xf>
    <xf numFmtId="176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left" vertical="top"/>
      <protection locked="0"/>
    </xf>
    <xf numFmtId="49" fontId="6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6" fillId="7" borderId="3" xfId="0" applyNumberFormat="1" applyFont="1" applyFill="1" applyBorder="1" applyAlignment="1">
      <alignment horizontal="center" vertical="center"/>
    </xf>
    <xf numFmtId="0" fontId="1" fillId="4" borderId="4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2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5" xfId="0" applyNumberFormat="1" applyFont="1" applyFill="1" applyBorder="1" applyAlignment="1" applyProtection="1">
      <alignment horizontal="center" vertical="center" wrapText="1"/>
      <protection locked="0"/>
    </xf>
    <xf numFmtId="178" fontId="6" fillId="4" borderId="1" xfId="0" applyNumberFormat="1" applyFont="1" applyFill="1" applyBorder="1" applyAlignment="1" applyProtection="1">
      <alignment horizontal="center" vertical="center" wrapText="1"/>
      <protection locked="0"/>
    </xf>
    <xf numFmtId="49" fontId="6" fillId="7" borderId="6" xfId="0" applyNumberFormat="1" applyFont="1" applyFill="1" applyBorder="1" applyAlignment="1">
      <alignment horizontal="center" vertical="center"/>
    </xf>
    <xf numFmtId="0" fontId="6" fillId="4" borderId="4" xfId="0" applyNumberFormat="1" applyFont="1" applyFill="1" applyBorder="1" applyAlignment="1" applyProtection="1">
      <alignment horizontal="center" vertical="center" wrapText="1"/>
      <protection locked="0"/>
    </xf>
    <xf numFmtId="0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0" fontId="6" fillId="4" borderId="5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1" xfId="0" applyNumberFormat="1" applyFont="1" applyFill="1" applyBorder="1" applyAlignment="1" applyProtection="1">
      <alignment horizontal="left" vertical="top" wrapText="1"/>
      <protection locked="0"/>
    </xf>
    <xf numFmtId="49" fontId="6" fillId="7" borderId="7" xfId="0" applyNumberFormat="1" applyFont="1" applyFill="1" applyBorder="1" applyAlignment="1">
      <alignment horizontal="center" vertical="center"/>
    </xf>
    <xf numFmtId="179" fontId="1" fillId="4" borderId="4" xfId="0" applyNumberFormat="1" applyFont="1" applyFill="1" applyBorder="1" applyAlignment="1" applyProtection="1">
      <alignment horizontal="center" vertical="center"/>
      <protection locked="0"/>
    </xf>
    <xf numFmtId="179" fontId="1" fillId="4" borderId="2" xfId="0" applyNumberFormat="1" applyFont="1" applyFill="1" applyBorder="1" applyAlignment="1" applyProtection="1">
      <alignment horizontal="center" vertical="center"/>
      <protection locked="0"/>
    </xf>
    <xf numFmtId="179" fontId="1" fillId="4" borderId="5" xfId="0" applyNumberFormat="1" applyFont="1" applyFill="1" applyBorder="1" applyAlignment="1" applyProtection="1">
      <alignment horizontal="center" vertical="center"/>
      <protection locked="0"/>
    </xf>
    <xf numFmtId="49" fontId="6" fillId="2" borderId="1" xfId="0" applyNumberFormat="1" applyFont="1" applyFill="1" applyBorder="1" applyAlignment="1">
      <alignment horizontal="left" vertical="center" wrapText="1"/>
    </xf>
    <xf numFmtId="0" fontId="1" fillId="4" borderId="1" xfId="0" applyNumberFormat="1" applyFont="1" applyFill="1" applyBorder="1" applyAlignment="1" applyProtection="1">
      <alignment horizontal="left" vertical="center"/>
      <protection locked="0"/>
    </xf>
    <xf numFmtId="49" fontId="6" fillId="7" borderId="1" xfId="0" applyNumberFormat="1" applyFont="1" applyFill="1" applyBorder="1" applyAlignment="1">
      <alignment horizontal="center" vertical="center" wrapText="1"/>
    </xf>
    <xf numFmtId="49" fontId="6" fillId="2" borderId="1" xfId="0" applyNumberFormat="1" applyFont="1" applyFill="1" applyBorder="1" applyAlignment="1">
      <alignment horizontal="center" vertical="center" wrapText="1"/>
    </xf>
    <xf numFmtId="49" fontId="6" fillId="4" borderId="4" xfId="0" applyNumberFormat="1" applyFont="1" applyFill="1" applyBorder="1" applyAlignment="1">
      <alignment horizontal="center" vertical="center"/>
    </xf>
    <xf numFmtId="49" fontId="6" fillId="4" borderId="2" xfId="0" applyNumberFormat="1" applyFont="1" applyFill="1" applyBorder="1" applyAlignment="1">
      <alignment horizontal="center" vertical="center"/>
    </xf>
    <xf numFmtId="49" fontId="6" fillId="4" borderId="5" xfId="0" applyNumberFormat="1" applyFont="1" applyFill="1" applyBorder="1" applyAlignment="1">
      <alignment horizontal="center" vertical="center"/>
    </xf>
    <xf numFmtId="49" fontId="6" fillId="4" borderId="1" xfId="0" applyNumberFormat="1" applyFont="1" applyFill="1" applyBorder="1" applyAlignment="1">
      <alignment horizontal="center" vertical="center"/>
    </xf>
    <xf numFmtId="49" fontId="6" fillId="2" borderId="3" xfId="0" applyNumberFormat="1" applyFont="1" applyFill="1" applyBorder="1" applyAlignment="1">
      <alignment horizontal="center" vertical="center" wrapText="1"/>
    </xf>
    <xf numFmtId="49" fontId="6" fillId="2" borderId="3" xfId="0" applyNumberFormat="1" applyFont="1" applyFill="1" applyBorder="1" applyAlignment="1" applyProtection="1">
      <alignment horizontal="center" vertical="center" wrapText="1"/>
    </xf>
    <xf numFmtId="49" fontId="6" fillId="4" borderId="3" xfId="0" applyNumberFormat="1" applyFont="1" applyFill="1" applyBorder="1" applyAlignment="1">
      <alignment horizontal="center" vertical="center"/>
    </xf>
    <xf numFmtId="49" fontId="6" fillId="2" borderId="6" xfId="0" applyNumberFormat="1" applyFont="1" applyFill="1" applyBorder="1" applyAlignment="1">
      <alignment horizontal="center" vertical="center" wrapText="1"/>
    </xf>
    <xf numFmtId="49" fontId="6" fillId="2" borderId="6" xfId="0" applyNumberFormat="1" applyFont="1" applyFill="1" applyBorder="1" applyAlignment="1" applyProtection="1">
      <alignment horizontal="center" vertical="center" wrapText="1"/>
    </xf>
    <xf numFmtId="49" fontId="6" fillId="4" borderId="6" xfId="0" applyNumberFormat="1" applyFont="1" applyFill="1" applyBorder="1" applyAlignment="1">
      <alignment horizontal="center" vertical="center"/>
    </xf>
    <xf numFmtId="49" fontId="6" fillId="2" borderId="7" xfId="0" applyNumberFormat="1" applyFont="1" applyFill="1" applyBorder="1" applyAlignment="1">
      <alignment horizontal="center" vertical="center" wrapText="1"/>
    </xf>
    <xf numFmtId="49" fontId="6" fillId="2" borderId="7" xfId="0" applyNumberFormat="1" applyFont="1" applyFill="1" applyBorder="1" applyAlignment="1" applyProtection="1">
      <alignment horizontal="center" vertical="center" wrapText="1"/>
    </xf>
    <xf numFmtId="49" fontId="6" fillId="4" borderId="7" xfId="0" applyNumberFormat="1" applyFont="1" applyFill="1" applyBorder="1" applyAlignment="1">
      <alignment horizontal="center" vertical="center"/>
    </xf>
    <xf numFmtId="49" fontId="6" fillId="7" borderId="1" xfId="0" applyNumberFormat="1" applyFont="1" applyFill="1" applyBorder="1" applyAlignment="1">
      <alignment horizontal="center" vertical="center"/>
    </xf>
    <xf numFmtId="0" fontId="6" fillId="4" borderId="4" xfId="0" applyNumberFormat="1" applyFont="1" applyFill="1" applyBorder="1" applyAlignment="1">
      <alignment horizontal="center" vertical="center" wrapText="1"/>
    </xf>
    <xf numFmtId="0" fontId="6" fillId="4" borderId="2" xfId="0" applyNumberFormat="1" applyFont="1" applyFill="1" applyBorder="1" applyAlignment="1">
      <alignment horizontal="center" vertical="center" wrapText="1"/>
    </xf>
    <xf numFmtId="0" fontId="6" fillId="4" borderId="5" xfId="0" applyNumberFormat="1" applyFont="1" applyFill="1" applyBorder="1" applyAlignment="1">
      <alignment horizontal="center" vertical="center" wrapText="1"/>
    </xf>
    <xf numFmtId="0" fontId="6" fillId="4" borderId="1" xfId="0" applyNumberFormat="1" applyFont="1" applyFill="1" applyBorder="1" applyAlignment="1">
      <alignment horizontal="right" vertical="center" wrapText="1"/>
    </xf>
    <xf numFmtId="49" fontId="6" fillId="4" borderId="1" xfId="0" applyNumberFormat="1" applyFont="1" applyFill="1" applyBorder="1" applyAlignment="1">
      <alignment horizontal="center" vertical="center" wrapText="1"/>
    </xf>
    <xf numFmtId="49" fontId="2" fillId="6" borderId="1" xfId="0" applyNumberFormat="1" applyFont="1" applyFill="1" applyBorder="1" applyAlignment="1" applyProtection="1">
      <alignment horizontal="left" vertical="center"/>
      <protection locked="0"/>
    </xf>
    <xf numFmtId="49" fontId="1" fillId="8" borderId="0" xfId="0" applyNumberFormat="1" applyFont="1" applyFill="1" applyBorder="1" applyProtection="1"/>
    <xf numFmtId="49" fontId="8" fillId="8" borderId="0" xfId="0" applyNumberFormat="1" applyFont="1" applyFill="1" applyBorder="1" applyAlignment="1" applyProtection="1">
      <alignment horizontal="center"/>
    </xf>
    <xf numFmtId="49" fontId="8" fillId="8" borderId="0" xfId="0" applyNumberFormat="1" applyFont="1" applyFill="1" applyBorder="1" applyProtection="1"/>
    <xf numFmtId="49" fontId="9" fillId="8" borderId="0" xfId="0" applyNumberFormat="1" applyFont="1" applyFill="1" applyBorder="1" applyProtection="1"/>
    <xf numFmtId="49" fontId="10" fillId="8" borderId="0" xfId="0" applyNumberFormat="1" applyFont="1" applyFill="1" applyBorder="1" applyAlignment="1" applyProtection="1">
      <alignment horizontal="center"/>
    </xf>
    <xf numFmtId="49" fontId="10" fillId="8" borderId="0" xfId="0" applyNumberFormat="1" applyFont="1" applyFill="1" applyBorder="1" applyProtection="1"/>
    <xf numFmtId="49" fontId="11" fillId="2" borderId="8" xfId="0" applyNumberFormat="1" applyFont="1" applyFill="1" applyBorder="1" applyAlignment="1" applyProtection="1">
      <alignment horizontal="left"/>
    </xf>
    <xf numFmtId="49" fontId="1" fillId="3" borderId="0" xfId="0" applyNumberFormat="1" applyFont="1" applyFill="1" applyBorder="1" applyProtection="1"/>
    <xf numFmtId="49" fontId="12" fillId="2" borderId="0" xfId="0" applyNumberFormat="1" applyFont="1" applyFill="1" applyBorder="1" applyAlignment="1" applyProtection="1">
      <alignment vertical="center"/>
    </xf>
    <xf numFmtId="49" fontId="1" fillId="5" borderId="0" xfId="0" applyNumberFormat="1" applyFont="1" applyFill="1" applyBorder="1" applyProtection="1"/>
    <xf numFmtId="49" fontId="6" fillId="2" borderId="0" xfId="0" applyNumberFormat="1" applyFont="1" applyFill="1" applyBorder="1" applyProtection="1"/>
    <xf numFmtId="0" fontId="1" fillId="8" borderId="0" xfId="0" applyFont="1" applyFill="1" applyBorder="1" applyAlignment="1" applyProtection="1">
      <alignment horizontal="center" vertical="center"/>
      <protection locked="0"/>
    </xf>
    <xf numFmtId="49" fontId="13" fillId="2" borderId="0" xfId="0" applyNumberFormat="1" applyFont="1" applyFill="1" applyBorder="1" applyProtection="1"/>
    <xf numFmtId="49" fontId="14" fillId="2" borderId="0" xfId="0" applyNumberFormat="1" applyFont="1" applyFill="1" applyBorder="1" applyProtection="1"/>
    <xf numFmtId="49" fontId="13" fillId="2" borderId="0" xfId="0" applyNumberFormat="1" applyFont="1" applyFill="1" applyBorder="1" applyAlignment="1" applyProtection="1">
      <alignment vertical="center"/>
    </xf>
    <xf numFmtId="49" fontId="14" fillId="2" borderId="0" xfId="0" applyNumberFormat="1" applyFont="1" applyFill="1" applyBorder="1" applyAlignment="1" applyProtection="1">
      <alignment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Medium9"/>
  <colors>
    <mruColors>
      <color rgb="00F2F3F8"/>
      <color rgb="00689CDA"/>
      <color rgb="00FFFFCC"/>
      <color rgb="00FFFF66"/>
      <color rgb="00EDF676"/>
      <color rgb="00E6E686"/>
      <color rgb="008385E9"/>
      <color rgb="00FFFCF7"/>
      <color rgb="00F5F6F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19</xdr:col>
      <xdr:colOff>209550</xdr:colOff>
      <xdr:row>14</xdr:row>
      <xdr:rowOff>0</xdr:rowOff>
    </xdr:from>
    <xdr:ext cx="240030" cy="171450"/>
    <xdr:sp>
      <xdr:nvSpPr>
        <xdr:cNvPr id="2" name="TextBox 1"/>
        <xdr:cNvSpPr txBox="1"/>
      </xdr:nvSpPr>
      <xdr:spPr>
        <a:xfrm>
          <a:off x="12683490" y="4702810"/>
          <a:ext cx="24003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1100"/>
        </a:p>
      </xdr:txBody>
    </xdr:sp>
    <xdr:clientData/>
  </xdr:oneCellAnchor>
  <xdr:oneCellAnchor>
    <xdr:from>
      <xdr:col>21</xdr:col>
      <xdr:colOff>445770</xdr:colOff>
      <xdr:row>13</xdr:row>
      <xdr:rowOff>45720</xdr:rowOff>
    </xdr:from>
    <xdr:ext cx="1146810" cy="392430"/>
    <xdr:sp>
      <xdr:nvSpPr>
        <xdr:cNvPr id="3" name="TextBox 2"/>
        <xdr:cNvSpPr txBox="1"/>
      </xdr:nvSpPr>
      <xdr:spPr>
        <a:xfrm>
          <a:off x="15868650" y="4321810"/>
          <a:ext cx="1146810" cy="3924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800"/>
        </a:p>
      </xdr:txBody>
    </xdr:sp>
    <xdr:clientData/>
  </xdr:oneCellAnchor>
  <xdr:oneCellAnchor>
    <xdr:from>
      <xdr:col>8</xdr:col>
      <xdr:colOff>336177</xdr:colOff>
      <xdr:row>26</xdr:row>
      <xdr:rowOff>171673</xdr:rowOff>
    </xdr:from>
    <xdr:ext cx="65" cy="172227"/>
    <xdr:sp>
      <xdr:nvSpPr>
        <xdr:cNvPr id="4" name="文本框 3"/>
        <xdr:cNvSpPr txBox="1"/>
      </xdr:nvSpPr>
      <xdr:spPr>
        <a:xfrm>
          <a:off x="8687435" y="12574270"/>
          <a:ext cx="0" cy="1720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X31"/>
  <sheetViews>
    <sheetView tabSelected="1" zoomScale="85" zoomScaleNormal="85" workbookViewId="0">
      <selection activeCell="J25" sqref="J25"/>
    </sheetView>
  </sheetViews>
  <sheetFormatPr defaultColWidth="9" defaultRowHeight="20.25" customHeight="1"/>
  <cols>
    <col min="1" max="1" width="21.2222222222222" style="31" customWidth="1"/>
    <col min="2" max="4" width="12.8888888888889" style="31" customWidth="1"/>
    <col min="5" max="6" width="13.7777777777778" style="31" customWidth="1"/>
    <col min="7" max="7" width="29.2222222222222" style="31" customWidth="1"/>
    <col min="8" max="18" width="5.11111111111111" style="2" customWidth="1"/>
    <col min="19" max="19" width="9" style="2"/>
    <col min="20" max="20" width="34" style="2" customWidth="1"/>
    <col min="21" max="16384" width="9" style="2"/>
  </cols>
  <sheetData>
    <row r="1" customHeight="1" spans="1:24">
      <c r="A1" s="32" t="s">
        <v>0</v>
      </c>
      <c r="B1" s="32"/>
      <c r="C1" s="32"/>
      <c r="D1" s="32"/>
      <c r="E1" s="32"/>
      <c r="F1" s="32"/>
      <c r="G1" s="32"/>
      <c r="H1" s="33" t="s">
        <v>1</v>
      </c>
      <c r="I1" s="90"/>
      <c r="J1" s="90"/>
      <c r="K1" s="90"/>
      <c r="L1" s="90"/>
      <c r="M1" s="90"/>
      <c r="N1" s="90"/>
      <c r="O1" s="90"/>
      <c r="P1" s="90"/>
      <c r="Q1" s="90"/>
      <c r="R1" s="101"/>
      <c r="S1" s="102"/>
      <c r="T1" s="103" t="s">
        <v>2</v>
      </c>
      <c r="U1" s="102" t="s">
        <v>3</v>
      </c>
      <c r="V1" s="102"/>
      <c r="W1" s="102"/>
      <c r="X1" s="102"/>
    </row>
    <row r="2" s="1" customFormat="1" ht="21" customHeight="1" spans="1:24">
      <c r="A2" s="34" t="s">
        <v>4</v>
      </c>
      <c r="B2" s="35"/>
      <c r="C2" s="35"/>
      <c r="D2" s="35"/>
      <c r="E2" s="35"/>
      <c r="F2" s="35"/>
      <c r="G2" s="35"/>
      <c r="H2" s="36"/>
      <c r="I2" s="90"/>
      <c r="J2" s="91" t="s">
        <v>5</v>
      </c>
      <c r="K2" s="91"/>
      <c r="L2" s="91"/>
      <c r="M2" s="92"/>
      <c r="N2" s="91" t="s">
        <v>6</v>
      </c>
      <c r="O2" s="91"/>
      <c r="P2" s="91"/>
      <c r="Q2" s="90"/>
      <c r="R2" s="101"/>
      <c r="S2" s="104"/>
      <c r="T2" s="105" t="s">
        <v>7</v>
      </c>
      <c r="U2" s="104" t="s">
        <v>8</v>
      </c>
      <c r="V2" s="104"/>
      <c r="W2" s="104"/>
      <c r="X2" s="104"/>
    </row>
    <row r="3" s="1" customFormat="1" ht="21" customHeight="1" spans="1:24">
      <c r="A3" s="34" t="s">
        <v>9</v>
      </c>
      <c r="B3" s="3"/>
      <c r="C3" s="3"/>
      <c r="D3" s="3"/>
      <c r="E3" s="3"/>
      <c r="F3" s="3"/>
      <c r="G3" s="3"/>
      <c r="H3" s="36"/>
      <c r="I3" s="90"/>
      <c r="J3" s="91"/>
      <c r="K3" s="91"/>
      <c r="L3" s="91"/>
      <c r="M3" s="92"/>
      <c r="N3" s="91"/>
      <c r="O3" s="91"/>
      <c r="P3" s="91"/>
      <c r="Q3" s="90"/>
      <c r="R3" s="101"/>
      <c r="S3" s="104"/>
      <c r="T3" s="105" t="s">
        <v>10</v>
      </c>
      <c r="U3" s="104" t="s">
        <v>11</v>
      </c>
      <c r="V3" s="104"/>
      <c r="W3" s="104"/>
      <c r="X3" s="104"/>
    </row>
    <row r="4" s="1" customFormat="1" ht="21" customHeight="1" spans="1:24">
      <c r="A4" s="34" t="s">
        <v>12</v>
      </c>
      <c r="B4" s="3"/>
      <c r="C4" s="3"/>
      <c r="D4" s="3"/>
      <c r="E4" s="3"/>
      <c r="F4" s="3"/>
      <c r="G4" s="3"/>
      <c r="H4" s="36"/>
      <c r="I4" s="90"/>
      <c r="J4" s="92"/>
      <c r="K4" s="92"/>
      <c r="L4" s="92"/>
      <c r="M4" s="92"/>
      <c r="N4" s="92"/>
      <c r="O4" s="93"/>
      <c r="P4" s="93"/>
      <c r="Q4" s="90"/>
      <c r="R4" s="101"/>
      <c r="S4" s="104"/>
      <c r="T4" s="105" t="s">
        <v>13</v>
      </c>
      <c r="U4" s="104" t="s">
        <v>14</v>
      </c>
      <c r="V4" s="104"/>
      <c r="W4" s="104"/>
      <c r="X4" s="104"/>
    </row>
    <row r="5" s="1" customFormat="1" ht="21" customHeight="1" spans="1:24">
      <c r="A5" s="34" t="s">
        <v>15</v>
      </c>
      <c r="B5" s="37"/>
      <c r="C5" s="37"/>
      <c r="D5" s="37"/>
      <c r="E5" s="3"/>
      <c r="F5" s="3"/>
      <c r="G5" s="3"/>
      <c r="H5" s="36"/>
      <c r="I5" s="90"/>
      <c r="J5" s="91" t="s">
        <v>16</v>
      </c>
      <c r="K5" s="91"/>
      <c r="L5" s="91"/>
      <c r="M5" s="92"/>
      <c r="N5" s="91" t="s">
        <v>17</v>
      </c>
      <c r="O5" s="91"/>
      <c r="P5" s="91"/>
      <c r="Q5" s="90"/>
      <c r="R5" s="101"/>
      <c r="S5" s="104"/>
      <c r="T5" s="104"/>
      <c r="U5" s="104"/>
      <c r="V5" s="104"/>
      <c r="W5" s="104"/>
      <c r="X5" s="104"/>
    </row>
    <row r="6" s="1" customFormat="1" ht="21" customHeight="1" spans="1:24">
      <c r="A6" s="34" t="s">
        <v>18</v>
      </c>
      <c r="B6" s="3"/>
      <c r="C6" s="3"/>
      <c r="D6" s="3"/>
      <c r="E6" s="3"/>
      <c r="F6" s="3"/>
      <c r="G6" s="3"/>
      <c r="H6" s="38"/>
      <c r="I6" s="90"/>
      <c r="J6" s="91"/>
      <c r="K6" s="91"/>
      <c r="L6" s="91"/>
      <c r="M6" s="92"/>
      <c r="N6" s="91"/>
      <c r="O6" s="91"/>
      <c r="P6" s="91"/>
      <c r="Q6" s="90"/>
      <c r="R6" s="101"/>
      <c r="S6" s="104"/>
      <c r="T6" s="104"/>
      <c r="U6" s="104"/>
      <c r="V6" s="104"/>
      <c r="W6" s="104"/>
      <c r="X6" s="104"/>
    </row>
    <row r="7" s="1" customFormat="1" ht="21" customHeight="1" spans="1:18">
      <c r="A7" s="34" t="s">
        <v>19</v>
      </c>
      <c r="B7" s="37" t="s">
        <v>20</v>
      </c>
      <c r="C7" s="37"/>
      <c r="D7" s="37"/>
      <c r="E7" s="37"/>
      <c r="F7" s="37"/>
      <c r="G7" s="37"/>
      <c r="H7" s="38"/>
      <c r="I7" s="90"/>
      <c r="J7" s="91"/>
      <c r="K7" s="91"/>
      <c r="L7" s="91"/>
      <c r="M7" s="92"/>
      <c r="N7" s="91"/>
      <c r="O7" s="91"/>
      <c r="P7" s="91"/>
      <c r="Q7" s="90"/>
      <c r="R7" s="101"/>
    </row>
    <row r="8" s="1" customFormat="1" ht="21.6" customHeight="1" spans="1:18">
      <c r="A8" s="34" t="s">
        <v>21</v>
      </c>
      <c r="B8" s="37" t="s">
        <v>22</v>
      </c>
      <c r="C8" s="37"/>
      <c r="D8" s="37"/>
      <c r="E8" s="37"/>
      <c r="F8" s="37"/>
      <c r="G8" s="37"/>
      <c r="H8" s="38"/>
      <c r="I8" s="90"/>
      <c r="J8" s="94"/>
      <c r="K8" s="94"/>
      <c r="L8" s="94"/>
      <c r="M8" s="95"/>
      <c r="N8" s="94"/>
      <c r="O8" s="94"/>
      <c r="P8" s="94"/>
      <c r="Q8" s="90"/>
      <c r="R8" s="101"/>
    </row>
    <row r="9" s="1" customFormat="1" ht="40" customHeight="1" spans="1:18">
      <c r="A9" s="34" t="s">
        <v>23</v>
      </c>
      <c r="B9" s="39" t="s">
        <v>24</v>
      </c>
      <c r="C9" s="39"/>
      <c r="D9" s="39"/>
      <c r="E9" s="4"/>
      <c r="F9" s="4"/>
      <c r="G9" s="4"/>
      <c r="H9" s="40"/>
      <c r="I9" s="2"/>
      <c r="J9" s="2"/>
      <c r="O9" s="2"/>
      <c r="P9" s="2"/>
      <c r="Q9" s="2"/>
      <c r="R9" s="40"/>
    </row>
    <row r="10" s="1" customFormat="1" ht="20.1" customHeight="1" spans="1:18">
      <c r="A10" s="34" t="s">
        <v>25</v>
      </c>
      <c r="B10" s="41"/>
      <c r="C10" s="42"/>
      <c r="D10" s="43"/>
      <c r="E10" s="44" t="s">
        <v>26</v>
      </c>
      <c r="F10" s="41"/>
      <c r="G10" s="43"/>
      <c r="H10" s="40"/>
      <c r="I10" s="2"/>
      <c r="J10" s="2"/>
      <c r="K10" s="96" t="s">
        <v>27</v>
      </c>
      <c r="L10" s="96"/>
      <c r="M10" s="40"/>
      <c r="N10" s="40"/>
      <c r="O10" s="2"/>
      <c r="P10" s="2"/>
      <c r="Q10" s="2"/>
      <c r="R10" s="40"/>
    </row>
    <row r="11" s="1" customFormat="1" ht="40.35" customHeight="1" spans="1:18">
      <c r="A11" s="34" t="s">
        <v>28</v>
      </c>
      <c r="B11" s="39" t="s">
        <v>29</v>
      </c>
      <c r="C11" s="39"/>
      <c r="D11" s="39"/>
      <c r="E11" s="45"/>
      <c r="F11" s="45"/>
      <c r="G11" s="45"/>
      <c r="H11" s="40"/>
      <c r="I11" s="40"/>
      <c r="J11" s="2"/>
      <c r="K11" s="97"/>
      <c r="L11" s="98" t="s">
        <v>30</v>
      </c>
      <c r="M11" s="98"/>
      <c r="N11" s="98"/>
      <c r="O11" s="40"/>
      <c r="P11" s="40"/>
      <c r="Q11" s="40"/>
      <c r="R11" s="40"/>
    </row>
    <row r="12" s="1" customFormat="1" ht="31.8" customHeight="1" spans="1:18">
      <c r="A12" s="34" t="s">
        <v>31</v>
      </c>
      <c r="B12" s="46" t="s">
        <v>32</v>
      </c>
      <c r="C12" s="46"/>
      <c r="D12" s="46"/>
      <c r="E12" s="47"/>
      <c r="F12" s="47"/>
      <c r="G12" s="47"/>
      <c r="H12" s="40"/>
      <c r="I12" s="40"/>
      <c r="J12" s="2"/>
      <c r="K12" s="99"/>
      <c r="L12" s="98" t="s">
        <v>33</v>
      </c>
      <c r="M12" s="98"/>
      <c r="N12" s="98"/>
      <c r="O12" s="40"/>
      <c r="P12" s="40"/>
      <c r="Q12" s="40"/>
      <c r="R12" s="40"/>
    </row>
    <row r="13" s="1" customFormat="1" ht="36.6" customHeight="1" spans="1:18">
      <c r="A13" s="34" t="s">
        <v>34</v>
      </c>
      <c r="B13" s="46" t="s">
        <v>35</v>
      </c>
      <c r="C13" s="46"/>
      <c r="D13" s="46"/>
      <c r="E13" s="47"/>
      <c r="F13" s="47"/>
      <c r="G13" s="47"/>
      <c r="H13" s="40"/>
      <c r="I13" s="40"/>
      <c r="J13" s="2"/>
      <c r="K13" s="40"/>
      <c r="L13" s="98"/>
      <c r="M13" s="2"/>
      <c r="N13" s="2"/>
      <c r="O13" s="40"/>
      <c r="P13" s="40"/>
      <c r="Q13" s="40"/>
      <c r="R13" s="40"/>
    </row>
    <row r="14" ht="33.6" customHeight="1" spans="1:18">
      <c r="A14" s="34" t="s">
        <v>36</v>
      </c>
      <c r="B14" s="48" t="str">
        <f>IFERROR(VLOOKUP(B13,T1:U4,2,),"")</f>
        <v>AB Sciex Triple Quad 5500</v>
      </c>
      <c r="C14" s="48"/>
      <c r="D14" s="48"/>
      <c r="E14" s="47"/>
      <c r="F14" s="47"/>
      <c r="G14" s="47"/>
      <c r="H14" s="40"/>
      <c r="I14" s="40"/>
      <c r="K14" s="40"/>
      <c r="L14" s="98"/>
      <c r="O14" s="40"/>
      <c r="P14" s="40"/>
      <c r="Q14" s="40"/>
      <c r="R14" s="40"/>
    </row>
    <row r="15" ht="23.1" customHeight="1" spans="1:18">
      <c r="A15" s="34" t="s">
        <v>37</v>
      </c>
      <c r="B15" s="46"/>
      <c r="C15" s="46"/>
      <c r="D15" s="46"/>
      <c r="E15" s="46"/>
      <c r="F15" s="46"/>
      <c r="G15" s="46"/>
      <c r="H15" s="49"/>
      <c r="I15" s="49"/>
      <c r="J15" s="30"/>
      <c r="K15" s="40"/>
      <c r="L15" s="30"/>
      <c r="M15" s="30"/>
      <c r="N15" s="49"/>
      <c r="O15" s="49"/>
      <c r="P15" s="49"/>
      <c r="Q15" s="49"/>
      <c r="R15" s="49"/>
    </row>
    <row r="16" ht="22.35" customHeight="1" spans="1:7">
      <c r="A16" s="50" t="s">
        <v>38</v>
      </c>
      <c r="B16" s="51">
        <v>1</v>
      </c>
      <c r="C16" s="51"/>
      <c r="D16" s="51"/>
      <c r="E16" s="51"/>
      <c r="F16" s="51"/>
      <c r="G16" s="51"/>
    </row>
    <row r="17" ht="51.9" customHeight="1" spans="1:7">
      <c r="A17" s="52" t="s">
        <v>39</v>
      </c>
      <c r="B17" s="50" t="s">
        <v>40</v>
      </c>
      <c r="C17" s="53" t="s">
        <v>41</v>
      </c>
      <c r="D17" s="54"/>
      <c r="E17" s="55"/>
      <c r="F17" s="50" t="s">
        <v>42</v>
      </c>
      <c r="G17" s="56">
        <v>30</v>
      </c>
    </row>
    <row r="18" ht="85.8" customHeight="1" spans="1:7">
      <c r="A18" s="57"/>
      <c r="B18" s="50" t="s">
        <v>43</v>
      </c>
      <c r="C18" s="58" t="s">
        <v>44</v>
      </c>
      <c r="D18" s="59"/>
      <c r="E18" s="60"/>
      <c r="F18" s="50" t="s">
        <v>45</v>
      </c>
      <c r="G18" s="61" t="s">
        <v>46</v>
      </c>
    </row>
    <row r="19" ht="41.4" customHeight="1" spans="1:7">
      <c r="A19" s="62"/>
      <c r="B19" s="50" t="s">
        <v>47</v>
      </c>
      <c r="C19" s="63">
        <v>0.2</v>
      </c>
      <c r="D19" s="64"/>
      <c r="E19" s="65"/>
      <c r="F19" s="50" t="s">
        <v>48</v>
      </c>
      <c r="G19" s="51">
        <v>1</v>
      </c>
    </row>
    <row r="20" ht="33.45" customHeight="1" spans="1:7">
      <c r="A20" s="52" t="s">
        <v>49</v>
      </c>
      <c r="B20" s="50" t="s">
        <v>50</v>
      </c>
      <c r="C20" s="53" t="s">
        <v>51</v>
      </c>
      <c r="D20" s="54"/>
      <c r="E20" s="55"/>
      <c r="F20" s="66" t="s">
        <v>52</v>
      </c>
      <c r="G20" s="67" t="s">
        <v>53</v>
      </c>
    </row>
    <row r="21" ht="110.4" customHeight="1" spans="1:16">
      <c r="A21" s="62"/>
      <c r="B21" s="50" t="s">
        <v>54</v>
      </c>
      <c r="C21" s="53" t="s">
        <v>55</v>
      </c>
      <c r="D21" s="54"/>
      <c r="E21" s="54"/>
      <c r="F21" s="54"/>
      <c r="G21" s="55"/>
      <c r="P21" s="100"/>
    </row>
    <row r="22" s="30" customFormat="1" ht="47.4" customHeight="1" spans="1:18">
      <c r="A22" s="68" t="s">
        <v>56</v>
      </c>
      <c r="B22" s="69" t="s">
        <v>57</v>
      </c>
      <c r="C22" s="70"/>
      <c r="D22" s="71"/>
      <c r="E22" s="72"/>
      <c r="F22" s="69" t="s">
        <v>58</v>
      </c>
      <c r="G22" s="73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="30" customFormat="1" ht="47.4" customHeight="1" spans="1:18">
      <c r="A23" s="68"/>
      <c r="B23" s="74" t="s">
        <v>59</v>
      </c>
      <c r="C23" s="73" t="s">
        <v>60</v>
      </c>
      <c r="D23" s="71"/>
      <c r="E23" s="72"/>
      <c r="F23" s="75" t="s">
        <v>61</v>
      </c>
      <c r="G23" s="76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="30" customFormat="1" ht="47.4" customHeight="1" spans="1:18">
      <c r="A24" s="68"/>
      <c r="B24" s="77"/>
      <c r="C24" s="73" t="s">
        <v>62</v>
      </c>
      <c r="D24" s="71"/>
      <c r="E24" s="72"/>
      <c r="F24" s="78"/>
      <c r="G24" s="79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ht="69.6" customHeight="1" spans="1:18">
      <c r="A25" s="68"/>
      <c r="B25" s="80"/>
      <c r="C25" s="73" t="s">
        <v>63</v>
      </c>
      <c r="D25" s="72"/>
      <c r="E25" s="73"/>
      <c r="F25" s="81"/>
      <c r="G25" s="82"/>
      <c r="R25" s="66"/>
    </row>
    <row r="26" ht="26.1" customHeight="1" spans="1:7">
      <c r="A26" s="83" t="s">
        <v>64</v>
      </c>
      <c r="B26" s="84">
        <v>0</v>
      </c>
      <c r="C26" s="85"/>
      <c r="D26" s="85"/>
      <c r="E26" s="85"/>
      <c r="F26" s="86"/>
      <c r="G26" s="87" t="str">
        <f>IF(B26=0,"ND",B26)</f>
        <v>ND</v>
      </c>
    </row>
    <row r="27" ht="26.1" customHeight="1" spans="1:7">
      <c r="A27" s="83" t="s">
        <v>65</v>
      </c>
      <c r="B27" s="88" t="s">
        <v>66</v>
      </c>
      <c r="C27" s="88"/>
      <c r="D27" s="88"/>
      <c r="E27" s="88"/>
      <c r="F27" s="88"/>
      <c r="G27" s="88"/>
    </row>
    <row r="28" customHeight="1" spans="1:7">
      <c r="A28" s="89" t="s">
        <v>67</v>
      </c>
      <c r="B28" s="89"/>
      <c r="C28" s="89"/>
      <c r="D28" s="89"/>
      <c r="E28" s="89"/>
      <c r="F28" s="89"/>
      <c r="G28" s="89"/>
    </row>
    <row r="29" customHeight="1" spans="1:7">
      <c r="A29" s="34" t="s">
        <v>68</v>
      </c>
      <c r="B29" s="3"/>
      <c r="C29" s="3"/>
      <c r="D29" s="3"/>
      <c r="E29" s="3"/>
      <c r="F29" s="3"/>
      <c r="G29" s="3"/>
    </row>
    <row r="30" customHeight="1" spans="1:7">
      <c r="A30" s="34" t="s">
        <v>69</v>
      </c>
      <c r="B30" s="3"/>
      <c r="C30" s="3"/>
      <c r="D30" s="3"/>
      <c r="E30" s="3"/>
      <c r="F30" s="3"/>
      <c r="G30" s="3"/>
    </row>
    <row r="31" customHeight="1" spans="1:7">
      <c r="A31" s="34" t="s">
        <v>70</v>
      </c>
      <c r="B31" s="3"/>
      <c r="C31" s="3"/>
      <c r="D31" s="3"/>
      <c r="E31" s="3"/>
      <c r="F31" s="3"/>
      <c r="G31" s="3"/>
    </row>
  </sheetData>
  <sheetProtection formatCells="0" formatColumns="0" formatRows="0" sort="0" autoFilter="0" pivotTables="0"/>
  <mergeCells count="43">
    <mergeCell ref="A1:G1"/>
    <mergeCell ref="B2:G2"/>
    <mergeCell ref="B3:G3"/>
    <mergeCell ref="B4:G4"/>
    <mergeCell ref="B5:G5"/>
    <mergeCell ref="B6:G6"/>
    <mergeCell ref="B7:G7"/>
    <mergeCell ref="B8:G8"/>
    <mergeCell ref="B9:G9"/>
    <mergeCell ref="B10:D10"/>
    <mergeCell ref="F10:G10"/>
    <mergeCell ref="K10:L10"/>
    <mergeCell ref="B11:G11"/>
    <mergeCell ref="L11:N11"/>
    <mergeCell ref="B12:G12"/>
    <mergeCell ref="L12:N12"/>
    <mergeCell ref="B13:G13"/>
    <mergeCell ref="B14:G14"/>
    <mergeCell ref="B15:G15"/>
    <mergeCell ref="B16:G16"/>
    <mergeCell ref="C17:E17"/>
    <mergeCell ref="C18:E18"/>
    <mergeCell ref="C19:E19"/>
    <mergeCell ref="C20:E20"/>
    <mergeCell ref="C21:G21"/>
    <mergeCell ref="C22:E22"/>
    <mergeCell ref="D25:E25"/>
    <mergeCell ref="B26:F26"/>
    <mergeCell ref="B27:G27"/>
    <mergeCell ref="A28:G28"/>
    <mergeCell ref="B29:G29"/>
    <mergeCell ref="B30:G30"/>
    <mergeCell ref="B31:G31"/>
    <mergeCell ref="A17:A19"/>
    <mergeCell ref="A20:A21"/>
    <mergeCell ref="A22:A25"/>
    <mergeCell ref="B23:B25"/>
    <mergeCell ref="F23:F25"/>
    <mergeCell ref="G23:G25"/>
    <mergeCell ref="J2:L3"/>
    <mergeCell ref="N2:P3"/>
    <mergeCell ref="J5:L7"/>
    <mergeCell ref="N5:P7"/>
  </mergeCells>
  <dataValidations count="1">
    <dataValidation type="list" allowBlank="1" showInputMessage="1" sqref="B13:G13">
      <formula1>$T$3:$T$4</formula1>
    </dataValidation>
  </dataValidations>
  <pageMargins left="0.699305555555556" right="0.699305555555556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C373"/>
  <sheetViews>
    <sheetView zoomScale="70" zoomScaleNormal="70" workbookViewId="0">
      <selection activeCell="P9" sqref="P9"/>
    </sheetView>
  </sheetViews>
  <sheetFormatPr defaultColWidth="9" defaultRowHeight="13.8"/>
  <cols>
    <col min="1" max="1" width="9" style="2"/>
    <col min="2" max="2" width="15.1111111111111" style="3" customWidth="1"/>
    <col min="3" max="3" width="18.8888888888889" style="3" customWidth="1"/>
    <col min="4" max="4" width="22.1111111111111" style="4" customWidth="1"/>
    <col min="5" max="5" width="23.1111111111111" style="4" customWidth="1"/>
    <col min="6" max="7" width="21.8888888888889" style="4" customWidth="1"/>
    <col min="8" max="8" width="13.7777777777778" style="5" customWidth="1"/>
    <col min="9" max="10" width="19.7777777777778" style="4" customWidth="1"/>
    <col min="11" max="15" width="11.3333333333333" style="6" customWidth="1"/>
    <col min="16" max="16" width="12.4444444444444" style="4" customWidth="1"/>
    <col min="17" max="16384" width="9" style="2"/>
  </cols>
  <sheetData>
    <row r="1" ht="20.25" customHeight="1" spans="1:16">
      <c r="A1" s="7" t="s">
        <v>71</v>
      </c>
      <c r="B1" s="7"/>
      <c r="C1" s="7"/>
      <c r="D1" s="7"/>
      <c r="E1" s="7"/>
      <c r="F1" s="7"/>
      <c r="G1" s="7"/>
      <c r="H1" s="7"/>
      <c r="I1" s="7"/>
      <c r="J1" s="7"/>
      <c r="K1" s="21"/>
      <c r="L1" s="21"/>
      <c r="M1" s="21"/>
      <c r="N1" s="21"/>
      <c r="O1" s="21"/>
      <c r="P1" s="22"/>
    </row>
    <row r="2" s="1" customFormat="1" ht="25.2" customHeight="1" spans="1:29">
      <c r="A2" s="8" t="s">
        <v>72</v>
      </c>
      <c r="B2" s="8" t="s">
        <v>73</v>
      </c>
      <c r="C2" s="9" t="s">
        <v>74</v>
      </c>
      <c r="D2" s="9" t="s">
        <v>15</v>
      </c>
      <c r="E2" s="10" t="s">
        <v>75</v>
      </c>
      <c r="F2" s="11"/>
      <c r="G2" s="11"/>
      <c r="H2" s="12"/>
      <c r="I2" s="10" t="s">
        <v>76</v>
      </c>
      <c r="J2" s="12"/>
      <c r="K2" s="23" t="s">
        <v>77</v>
      </c>
      <c r="L2" s="23"/>
      <c r="M2" s="23"/>
      <c r="N2" s="23"/>
      <c r="O2" s="23"/>
      <c r="P2" s="24" t="s">
        <v>78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="1" customFormat="1" ht="21" customHeight="1" spans="1:29">
      <c r="A3" s="13"/>
      <c r="B3" s="13"/>
      <c r="C3" s="14"/>
      <c r="D3" s="14"/>
      <c r="E3" s="10" t="s">
        <v>79</v>
      </c>
      <c r="F3" s="11"/>
      <c r="G3" s="12"/>
      <c r="H3" s="15" t="s">
        <v>80</v>
      </c>
      <c r="I3" s="9" t="s">
        <v>81</v>
      </c>
      <c r="J3" s="9" t="s">
        <v>82</v>
      </c>
      <c r="K3" s="23" t="s">
        <v>83</v>
      </c>
      <c r="L3" s="25" t="s">
        <v>84</v>
      </c>
      <c r="M3" s="23" t="s">
        <v>85</v>
      </c>
      <c r="N3" s="23" t="s">
        <v>86</v>
      </c>
      <c r="O3" s="26" t="s">
        <v>87</v>
      </c>
      <c r="P3" s="24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="1" customFormat="1" ht="21" customHeight="1" spans="1:29">
      <c r="A4" s="16"/>
      <c r="B4" s="16"/>
      <c r="C4" s="17"/>
      <c r="D4" s="17"/>
      <c r="E4" s="18" t="s">
        <v>88</v>
      </c>
      <c r="F4" s="18" t="s">
        <v>89</v>
      </c>
      <c r="G4" s="19" t="s">
        <v>90</v>
      </c>
      <c r="H4" s="20"/>
      <c r="I4" s="17"/>
      <c r="J4" s="17"/>
      <c r="K4" s="23"/>
      <c r="L4" s="27"/>
      <c r="M4" s="28"/>
      <c r="N4" s="28"/>
      <c r="O4" s="29"/>
      <c r="P4" s="24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</row>
    <row r="5" ht="20.25" customHeight="1" spans="1:10">
      <c r="A5" s="3"/>
      <c r="G5" s="5" t="str">
        <f>IFERROR(baoliuxiaoshuwei((E5-F5)/(E5+F5)*100,0),"")</f>
        <v/>
      </c>
      <c r="H5" s="5" t="str">
        <f>IFERROR(IF(ISBLANK(I5),"",IF(J5="ND","否","是")),"")</f>
        <v/>
      </c>
      <c r="J5" s="5" t="str">
        <f>IFERROR(IF(I5="ND","ND",baoliuxiaoshuwei(((I5-基础页!$B$26)*基础页!$B$16)/C5,2)),"")</f>
        <v/>
      </c>
    </row>
    <row r="6" ht="20.25" customHeight="1" spans="1:10">
      <c r="A6" s="3"/>
      <c r="G6" s="5" t="str">
        <f>IFERROR(baoliuxiaoshuwei((E6-F6)/(E6+F6)*100,0),"")</f>
        <v/>
      </c>
      <c r="H6" s="5" t="str">
        <f t="shared" ref="H6:H69" si="0">IFERROR(IF(ISBLANK(I6),"",IF(J6="ND","否","是")),"")</f>
        <v/>
      </c>
      <c r="J6" s="5" t="str">
        <f>IFERROR(IF(I6="ND","ND",baoliuxiaoshuwei(((I6-基础页!$B$26)*基础页!$B$16)/C6,2)),"")</f>
        <v/>
      </c>
    </row>
    <row r="7" ht="20.25" customHeight="1" spans="1:10">
      <c r="A7" s="3"/>
      <c r="G7" s="5" t="str">
        <f>IFERROR(baoliuxiaoshuwei((E7-F7)/(E7+F7)*100,0),"")</f>
        <v/>
      </c>
      <c r="H7" s="5" t="str">
        <f t="shared" si="0"/>
        <v/>
      </c>
      <c r="J7" s="5" t="str">
        <f>IFERROR(IF(I7="ND","ND",baoliuxiaoshuwei(((I7-基础页!$B$26)*基础页!$B$16)/C7,2)),"")</f>
        <v/>
      </c>
    </row>
    <row r="8" ht="20.25" customHeight="1" spans="1:10">
      <c r="A8" s="3"/>
      <c r="G8" s="5" t="str">
        <f>IFERROR(baoliuxiaoshuwei((E8-F8)/(E8+F8)*100,0),"")</f>
        <v/>
      </c>
      <c r="H8" s="5" t="str">
        <f t="shared" si="0"/>
        <v/>
      </c>
      <c r="J8" s="5" t="str">
        <f>IFERROR(IF(I8="ND","ND",baoliuxiaoshuwei(((I8-基础页!$B$26)*基础页!$B$16)/C8,2)),"")</f>
        <v/>
      </c>
    </row>
    <row r="9" ht="20.25" customHeight="1" spans="1:10">
      <c r="A9" s="3"/>
      <c r="G9" s="5" t="str">
        <f>IFERROR(baoliuxiaoshuwei((E9-F9)/(E9+F9)*100,0),"")</f>
        <v/>
      </c>
      <c r="H9" s="5" t="str">
        <f t="shared" si="0"/>
        <v/>
      </c>
      <c r="J9" s="5" t="str">
        <f>IFERROR(IF(I9="ND","ND",baoliuxiaoshuwei(((I9-基础页!$B$26)*基础页!$B$16)/C9,2)),"")</f>
        <v/>
      </c>
    </row>
    <row r="10" ht="20.25" customHeight="1" spans="1:10">
      <c r="A10" s="3"/>
      <c r="G10" s="5" t="str">
        <f>IFERROR(baoliuxiaoshuwei((E10-F10)/(E10+F10)*100,0),"")</f>
        <v/>
      </c>
      <c r="H10" s="5" t="str">
        <f t="shared" si="0"/>
        <v/>
      </c>
      <c r="J10" s="5" t="str">
        <f>IFERROR(IF(I10="ND","ND",baoliuxiaoshuwei(((I10-基础页!$B$26)*基础页!$B$16)/C10,2)),"")</f>
        <v/>
      </c>
    </row>
    <row r="11" ht="20.25" customHeight="1" spans="1:10">
      <c r="A11" s="3"/>
      <c r="G11" s="5" t="str">
        <f>IFERROR(baoliuxiaoshuwei((E11-F11)/(E11+F11)*100,0),"")</f>
        <v/>
      </c>
      <c r="H11" s="5" t="str">
        <f t="shared" si="0"/>
        <v/>
      </c>
      <c r="J11" s="5" t="str">
        <f>IFERROR(IF(I11="ND","ND",baoliuxiaoshuwei(((I11-基础页!$B$26)*基础页!$B$16)/C11,2)),"")</f>
        <v/>
      </c>
    </row>
    <row r="12" ht="20.25" customHeight="1" spans="1:10">
      <c r="A12" s="3"/>
      <c r="G12" s="5" t="str">
        <f>IFERROR(baoliuxiaoshuwei((E12-F12)/(E12+F12)*100,0),"")</f>
        <v/>
      </c>
      <c r="H12" s="5" t="str">
        <f t="shared" si="0"/>
        <v/>
      </c>
      <c r="J12" s="5" t="str">
        <f>IFERROR(IF(I12="ND","ND",baoliuxiaoshuwei(((I12-基础页!$B$26)*基础页!$B$16)/C12,2)),"")</f>
        <v/>
      </c>
    </row>
    <row r="13" ht="20.25" customHeight="1" spans="1:10">
      <c r="A13" s="3"/>
      <c r="G13" s="5" t="str">
        <f>IFERROR(baoliuxiaoshuwei((E13-F13)/(E13+F13)*100,0),"")</f>
        <v/>
      </c>
      <c r="H13" s="5" t="str">
        <f t="shared" si="0"/>
        <v/>
      </c>
      <c r="J13" s="5" t="str">
        <f>IFERROR(IF(I13="ND","ND",baoliuxiaoshuwei(((I13-基础页!$B$26)*基础页!$B$16)/C13,2)),"")</f>
        <v/>
      </c>
    </row>
    <row r="14" ht="20.25" customHeight="1" spans="1:10">
      <c r="A14" s="3"/>
      <c r="G14" s="5" t="str">
        <f>IFERROR(baoliuxiaoshuwei((E14-F14)/(E14+F14)*100,0),"")</f>
        <v/>
      </c>
      <c r="H14" s="5" t="str">
        <f t="shared" si="0"/>
        <v/>
      </c>
      <c r="J14" s="5" t="str">
        <f>IFERROR(IF(I14="ND","ND",baoliuxiaoshuwei(((I14-基础页!$B$26)*基础页!$B$16)/C14,2)),"")</f>
        <v/>
      </c>
    </row>
    <row r="15" ht="20.25" customHeight="1" spans="1:10">
      <c r="A15" s="3"/>
      <c r="G15" s="5" t="str">
        <f>IFERROR(baoliuxiaoshuwei((E15-F15)/(E15+F15)*100,0),"")</f>
        <v/>
      </c>
      <c r="H15" s="5" t="str">
        <f t="shared" si="0"/>
        <v/>
      </c>
      <c r="J15" s="5" t="str">
        <f>IFERROR(IF(I15="ND","ND",baoliuxiaoshuwei(((I15-基础页!$B$26)*基础页!$B$16)/C15,2)),"")</f>
        <v/>
      </c>
    </row>
    <row r="16" ht="20.25" customHeight="1" spans="1:10">
      <c r="A16" s="3"/>
      <c r="G16" s="5" t="str">
        <f>IFERROR(baoliuxiaoshuwei((E16-F16)/(E16+F16)*100,0),"")</f>
        <v/>
      </c>
      <c r="H16" s="5" t="str">
        <f t="shared" si="0"/>
        <v/>
      </c>
      <c r="J16" s="5" t="str">
        <f>IFERROR(IF(I16="ND","ND",baoliuxiaoshuwei(((I16-基础页!$B$26)*基础页!$B$16)/C16,2)),"")</f>
        <v/>
      </c>
    </row>
    <row r="17" ht="20.25" customHeight="1" spans="1:10">
      <c r="A17" s="3"/>
      <c r="G17" s="5" t="str">
        <f>IFERROR(baoliuxiaoshuwei((E17-F17)/(E17+F17)*100,0),"")</f>
        <v/>
      </c>
      <c r="H17" s="5" t="str">
        <f t="shared" si="0"/>
        <v/>
      </c>
      <c r="J17" s="5" t="str">
        <f>IFERROR(IF(I17="ND","ND",baoliuxiaoshuwei(((I17-基础页!$B$26)*基础页!$B$16)/C17,2)),"")</f>
        <v/>
      </c>
    </row>
    <row r="18" ht="20.25" customHeight="1" spans="1:10">
      <c r="A18" s="3"/>
      <c r="G18" s="5" t="str">
        <f>IFERROR(baoliuxiaoshuwei((E18-F18)/(E18+F18)*100,0),"")</f>
        <v/>
      </c>
      <c r="H18" s="5" t="str">
        <f t="shared" si="0"/>
        <v/>
      </c>
      <c r="J18" s="5" t="str">
        <f>IFERROR(IF(I18="ND","ND",baoliuxiaoshuwei(((I18-基础页!$B$26)*基础页!$B$16)/C18,2)),"")</f>
        <v/>
      </c>
    </row>
    <row r="19" ht="20.25" customHeight="1" spans="1:10">
      <c r="A19" s="3"/>
      <c r="G19" s="5" t="str">
        <f>IFERROR(baoliuxiaoshuwei((E19-F19)/(E19+F19)*100,0),"")</f>
        <v/>
      </c>
      <c r="H19" s="5" t="str">
        <f t="shared" si="0"/>
        <v/>
      </c>
      <c r="J19" s="5" t="str">
        <f>IFERROR(IF(I19="ND","ND",baoliuxiaoshuwei(((I19-基础页!$B$26)*基础页!$B$16)/C19,2)),"")</f>
        <v/>
      </c>
    </row>
    <row r="20" ht="20.25" customHeight="1" spans="1:10">
      <c r="A20" s="3"/>
      <c r="G20" s="5" t="str">
        <f>IFERROR(baoliuxiaoshuwei((E20-F20)/(E20+F20)*100,0),"")</f>
        <v/>
      </c>
      <c r="H20" s="5" t="str">
        <f t="shared" si="0"/>
        <v/>
      </c>
      <c r="J20" s="5" t="str">
        <f>IFERROR(IF(I20="ND","ND",baoliuxiaoshuwei(((I20-基础页!$B$26)*基础页!$B$16)/C20,2)),"")</f>
        <v/>
      </c>
    </row>
    <row r="21" ht="20.25" customHeight="1" spans="1:10">
      <c r="A21" s="3"/>
      <c r="G21" s="5" t="str">
        <f>IFERROR(baoliuxiaoshuwei((E21-F21)/(E21+F21)*100,0),"")</f>
        <v/>
      </c>
      <c r="H21" s="5" t="str">
        <f t="shared" si="0"/>
        <v/>
      </c>
      <c r="J21" s="5" t="str">
        <f>IFERROR(IF(I21="ND","ND",baoliuxiaoshuwei(((I21-基础页!$B$26)*基础页!$B$16)/C21,2)),"")</f>
        <v/>
      </c>
    </row>
    <row r="22" ht="20.25" customHeight="1" spans="1:10">
      <c r="A22" s="3"/>
      <c r="G22" s="5" t="str">
        <f>IFERROR(baoliuxiaoshuwei((E22-F22)/(E22+F22)*100,0),"")</f>
        <v/>
      </c>
      <c r="H22" s="5" t="str">
        <f t="shared" si="0"/>
        <v/>
      </c>
      <c r="J22" s="5" t="str">
        <f>IFERROR(IF(I22="ND","ND",baoliuxiaoshuwei(((I22-基础页!$B$26)*基础页!$B$16)/C22,2)),"")</f>
        <v/>
      </c>
    </row>
    <row r="23" ht="20.25" customHeight="1" spans="1:10">
      <c r="A23" s="3"/>
      <c r="G23" s="5" t="str">
        <f>IFERROR(baoliuxiaoshuwei((E23-F23)/(E23+F23)*100,0),"")</f>
        <v/>
      </c>
      <c r="H23" s="5" t="str">
        <f t="shared" si="0"/>
        <v/>
      </c>
      <c r="J23" s="5" t="str">
        <f>IFERROR(IF(I23="ND","ND",baoliuxiaoshuwei(((I23-基础页!$B$26)*基础页!$B$16)/C23,2)),"")</f>
        <v/>
      </c>
    </row>
    <row r="24" ht="20.25" customHeight="1" spans="1:10">
      <c r="A24" s="3"/>
      <c r="G24" s="5" t="str">
        <f>IFERROR(baoliuxiaoshuwei((E24-F24)/(E24+F24)*100,0),"")</f>
        <v/>
      </c>
      <c r="H24" s="5" t="str">
        <f t="shared" si="0"/>
        <v/>
      </c>
      <c r="J24" s="5" t="str">
        <f>IFERROR(IF(I24="ND","ND",baoliuxiaoshuwei(((I24-基础页!$B$26)*基础页!$B$16)/C24,2)),"")</f>
        <v/>
      </c>
    </row>
    <row r="25" ht="20.25" customHeight="1" spans="1:10">
      <c r="A25" s="3"/>
      <c r="G25" s="5" t="str">
        <f>IFERROR(baoliuxiaoshuwei((E25-F25)/(E25+F25)*100,0),"")</f>
        <v/>
      </c>
      <c r="H25" s="5" t="str">
        <f t="shared" si="0"/>
        <v/>
      </c>
      <c r="J25" s="5" t="str">
        <f>IFERROR(IF(I25="ND","ND",baoliuxiaoshuwei(((I25-基础页!$B$26)*基础页!$B$16)/C25,2)),"")</f>
        <v/>
      </c>
    </row>
    <row r="26" ht="20.25" customHeight="1" spans="1:10">
      <c r="A26" s="3"/>
      <c r="G26" s="5" t="str">
        <f>IFERROR(baoliuxiaoshuwei((E26-F26)/(E26+F26)*100,0),"")</f>
        <v/>
      </c>
      <c r="H26" s="5" t="str">
        <f t="shared" si="0"/>
        <v/>
      </c>
      <c r="J26" s="5" t="str">
        <f>IFERROR(IF(I26="ND","ND",baoliuxiaoshuwei(((I26-基础页!$B$26)*基础页!$B$16)/C26,2)),"")</f>
        <v/>
      </c>
    </row>
    <row r="27" ht="20.25" customHeight="1" spans="1:10">
      <c r="A27" s="3"/>
      <c r="G27" s="5" t="str">
        <f>IFERROR(baoliuxiaoshuwei((E27-F27)/(E27+F27)*100,0),"")</f>
        <v/>
      </c>
      <c r="H27" s="5" t="str">
        <f t="shared" si="0"/>
        <v/>
      </c>
      <c r="J27" s="5" t="str">
        <f>IFERROR(IF(I27="ND","ND",baoliuxiaoshuwei(((I27-基础页!$B$26)*基础页!$B$16)/C27,2)),"")</f>
        <v/>
      </c>
    </row>
    <row r="28" ht="20.25" customHeight="1" spans="1:10">
      <c r="A28" s="3"/>
      <c r="G28" s="5" t="str">
        <f>IFERROR(baoliuxiaoshuwei((E28-F28)/(E28+F28)*100,0),"")</f>
        <v/>
      </c>
      <c r="H28" s="5" t="str">
        <f t="shared" si="0"/>
        <v/>
      </c>
      <c r="J28" s="5" t="str">
        <f>IFERROR(IF(I28="ND","ND",baoliuxiaoshuwei(((I28-基础页!$B$26)*基础页!$B$16)/C28,2)),"")</f>
        <v/>
      </c>
    </row>
    <row r="29" ht="20.25" customHeight="1" spans="1:10">
      <c r="A29" s="3"/>
      <c r="G29" s="5" t="str">
        <f>IFERROR(baoliuxiaoshuwei((E29-F29)/(E29+F29)*100,0),"")</f>
        <v/>
      </c>
      <c r="H29" s="5" t="str">
        <f t="shared" si="0"/>
        <v/>
      </c>
      <c r="J29" s="5" t="str">
        <f>IFERROR(IF(I29="ND","ND",baoliuxiaoshuwei(((I29-基础页!$B$26)*基础页!$B$16)/C29,2)),"")</f>
        <v/>
      </c>
    </row>
    <row r="30" ht="20.25" customHeight="1" spans="1:10">
      <c r="A30" s="3"/>
      <c r="G30" s="5" t="str">
        <f>IFERROR(baoliuxiaoshuwei((E30-F30)/(E30+F30)*100,0),"")</f>
        <v/>
      </c>
      <c r="H30" s="5" t="str">
        <f t="shared" si="0"/>
        <v/>
      </c>
      <c r="J30" s="5" t="str">
        <f>IFERROR(IF(I30="ND","ND",baoliuxiaoshuwei(((I30-基础页!$B$26)*基础页!$B$16)/C30,2)),"")</f>
        <v/>
      </c>
    </row>
    <row r="31" ht="20.25" customHeight="1" spans="1:10">
      <c r="A31" s="3"/>
      <c r="G31" s="5" t="str">
        <f>IFERROR(baoliuxiaoshuwei((E31-F31)/(E31+F31)*100,0),"")</f>
        <v/>
      </c>
      <c r="H31" s="5" t="str">
        <f t="shared" si="0"/>
        <v/>
      </c>
      <c r="J31" s="5" t="str">
        <f>IFERROR(IF(I31="ND","ND",baoliuxiaoshuwei(((I31-基础页!$B$26)*基础页!$B$16)/C31,2)),"")</f>
        <v/>
      </c>
    </row>
    <row r="32" ht="20.25" customHeight="1" spans="1:10">
      <c r="A32" s="3"/>
      <c r="G32" s="5" t="str">
        <f>IFERROR(baoliuxiaoshuwei((E32-F32)/(E32+F32)*100,0),"")</f>
        <v/>
      </c>
      <c r="H32" s="5" t="str">
        <f t="shared" si="0"/>
        <v/>
      </c>
      <c r="J32" s="5" t="str">
        <f>IFERROR(IF(I32="ND","ND",baoliuxiaoshuwei(((I32-基础页!$B$26)*基础页!$B$16)/C32,2)),"")</f>
        <v/>
      </c>
    </row>
    <row r="33" ht="20.25" customHeight="1" spans="1:10">
      <c r="A33" s="3"/>
      <c r="G33" s="5" t="str">
        <f>IFERROR(baoliuxiaoshuwei((E33-F33)/(E33+F33)*100,0),"")</f>
        <v/>
      </c>
      <c r="H33" s="5" t="str">
        <f t="shared" si="0"/>
        <v/>
      </c>
      <c r="J33" s="5" t="str">
        <f>IFERROR(IF(I33="ND","ND",baoliuxiaoshuwei(((I33-基础页!$B$26)*基础页!$B$16)/C33,2)),"")</f>
        <v/>
      </c>
    </row>
    <row r="34" ht="20.25" customHeight="1" spans="1:10">
      <c r="A34" s="3"/>
      <c r="G34" s="5" t="str">
        <f>IFERROR(baoliuxiaoshuwei((E34-F34)/(E34+F34)*100,0),"")</f>
        <v/>
      </c>
      <c r="H34" s="5" t="str">
        <f t="shared" si="0"/>
        <v/>
      </c>
      <c r="J34" s="5" t="str">
        <f>IFERROR(IF(I34="ND","ND",baoliuxiaoshuwei(((I34-基础页!$B$26)*基础页!$B$16)/C34,2)),"")</f>
        <v/>
      </c>
    </row>
    <row r="35" ht="20.25" customHeight="1" spans="1:10">
      <c r="A35" s="3"/>
      <c r="G35" s="5" t="str">
        <f>IFERROR(baoliuxiaoshuwei((E35-F35)/(E35+F35)*100,0),"")</f>
        <v/>
      </c>
      <c r="H35" s="5" t="str">
        <f t="shared" si="0"/>
        <v/>
      </c>
      <c r="J35" s="5" t="str">
        <f>IFERROR(IF(I35="ND","ND",baoliuxiaoshuwei(((I35-基础页!$B$26)*基础页!$B$16)/C35,2)),"")</f>
        <v/>
      </c>
    </row>
    <row r="36" ht="20.25" customHeight="1" spans="1:10">
      <c r="A36" s="3"/>
      <c r="G36" s="5" t="str">
        <f>IFERROR(baoliuxiaoshuwei((E36-F36)/(E36+F36)*100,0),"")</f>
        <v/>
      </c>
      <c r="H36" s="5" t="str">
        <f t="shared" si="0"/>
        <v/>
      </c>
      <c r="J36" s="5" t="str">
        <f>IFERROR(IF(I36="ND","ND",baoliuxiaoshuwei(((I36-基础页!$B$26)*基础页!$B$16)/C36,2)),"")</f>
        <v/>
      </c>
    </row>
    <row r="37" ht="20.25" customHeight="1" spans="1:10">
      <c r="A37" s="3"/>
      <c r="G37" s="5" t="str">
        <f>IFERROR(baoliuxiaoshuwei((E37-F37)/(E37+F37)*100,0),"")</f>
        <v/>
      </c>
      <c r="H37" s="5" t="str">
        <f t="shared" si="0"/>
        <v/>
      </c>
      <c r="J37" s="5" t="str">
        <f>IFERROR(IF(I37="ND","ND",baoliuxiaoshuwei(((I37-基础页!$B$26)*基础页!$B$16)/C37,2)),"")</f>
        <v/>
      </c>
    </row>
    <row r="38" ht="20.25" customHeight="1" spans="1:10">
      <c r="A38" s="3"/>
      <c r="G38" s="5" t="str">
        <f>IFERROR(baoliuxiaoshuwei((E38-F38)/(E38+F38)*100,0),"")</f>
        <v/>
      </c>
      <c r="H38" s="5" t="str">
        <f t="shared" si="0"/>
        <v/>
      </c>
      <c r="J38" s="5" t="str">
        <f>IFERROR(IF(I38="ND","ND",baoliuxiaoshuwei(((I38-基础页!$B$26)*基础页!$B$16)/C38,2)),"")</f>
        <v/>
      </c>
    </row>
    <row r="39" ht="20.25" customHeight="1" spans="1:10">
      <c r="A39" s="3"/>
      <c r="G39" s="5" t="str">
        <f>IFERROR(baoliuxiaoshuwei((E39-F39)/(E39+F39)*100,0),"")</f>
        <v/>
      </c>
      <c r="H39" s="5" t="str">
        <f t="shared" si="0"/>
        <v/>
      </c>
      <c r="J39" s="5" t="str">
        <f>IFERROR(IF(I39="ND","ND",baoliuxiaoshuwei(((I39-基础页!$B$26)*基础页!$B$16)/C39,2)),"")</f>
        <v/>
      </c>
    </row>
    <row r="40" ht="20.25" customHeight="1" spans="1:10">
      <c r="A40" s="3"/>
      <c r="G40" s="5" t="str">
        <f>IFERROR(baoliuxiaoshuwei((E40-F40)/(E40+F40)*100,0),"")</f>
        <v/>
      </c>
      <c r="H40" s="5" t="str">
        <f t="shared" si="0"/>
        <v/>
      </c>
      <c r="J40" s="5" t="str">
        <f>IFERROR(IF(I40="ND","ND",baoliuxiaoshuwei(((I40-基础页!$B$26)*基础页!$B$16)/C40,2)),"")</f>
        <v/>
      </c>
    </row>
    <row r="41" ht="20.25" customHeight="1" spans="1:10">
      <c r="A41" s="3"/>
      <c r="G41" s="5" t="str">
        <f>IFERROR(baoliuxiaoshuwei((E41-F41)/(E41+F41)*100,0),"")</f>
        <v/>
      </c>
      <c r="H41" s="5" t="str">
        <f t="shared" si="0"/>
        <v/>
      </c>
      <c r="J41" s="5" t="str">
        <f>IFERROR(IF(I41="ND","ND",baoliuxiaoshuwei(((I41-基础页!$B$26)*基础页!$B$16)/C41,2)),"")</f>
        <v/>
      </c>
    </row>
    <row r="42" ht="20.25" customHeight="1" spans="1:10">
      <c r="A42" s="3"/>
      <c r="G42" s="5" t="str">
        <f>IFERROR(baoliuxiaoshuwei((E42-F42)/(E42+F42)*100,0),"")</f>
        <v/>
      </c>
      <c r="H42" s="5" t="str">
        <f t="shared" si="0"/>
        <v/>
      </c>
      <c r="J42" s="5" t="str">
        <f>IFERROR(IF(I42="ND","ND",baoliuxiaoshuwei(((I42-基础页!$B$26)*基础页!$B$16)/C42,2)),"")</f>
        <v/>
      </c>
    </row>
    <row r="43" ht="20.25" customHeight="1" spans="1:10">
      <c r="A43" s="3"/>
      <c r="G43" s="5" t="str">
        <f>IFERROR(baoliuxiaoshuwei((E43-F43)/(E43+F43)*100,0),"")</f>
        <v/>
      </c>
      <c r="H43" s="5" t="str">
        <f t="shared" si="0"/>
        <v/>
      </c>
      <c r="J43" s="5" t="str">
        <f>IFERROR(IF(I43="ND","ND",baoliuxiaoshuwei(((I43-基础页!$B$26)*基础页!$B$16)/C43,2)),"")</f>
        <v/>
      </c>
    </row>
    <row r="44" ht="20.25" customHeight="1" spans="1:10">
      <c r="A44" s="3"/>
      <c r="G44" s="5" t="str">
        <f>IFERROR(baoliuxiaoshuwei((E44-F44)/(E44+F44)*100,0),"")</f>
        <v/>
      </c>
      <c r="H44" s="5" t="str">
        <f t="shared" si="0"/>
        <v/>
      </c>
      <c r="J44" s="5" t="str">
        <f>IFERROR(IF(I44="ND","ND",baoliuxiaoshuwei(((I44-基础页!$B$26)*基础页!$B$16)/C44,2)),"")</f>
        <v/>
      </c>
    </row>
    <row r="45" ht="20.25" customHeight="1" spans="1:10">
      <c r="A45" s="3"/>
      <c r="G45" s="5" t="str">
        <f>IFERROR(baoliuxiaoshuwei((E45-F45)/(E45+F45)*100,0),"")</f>
        <v/>
      </c>
      <c r="H45" s="5" t="str">
        <f t="shared" si="0"/>
        <v/>
      </c>
      <c r="J45" s="5" t="str">
        <f>IFERROR(IF(I45="ND","ND",baoliuxiaoshuwei(((I45-基础页!$B$26)*基础页!$B$16)/C45,2)),"")</f>
        <v/>
      </c>
    </row>
    <row r="46" ht="20.25" customHeight="1" spans="1:10">
      <c r="A46" s="3"/>
      <c r="G46" s="5" t="str">
        <f>IFERROR(baoliuxiaoshuwei((E46-F46)/(E46+F46)*100,0),"")</f>
        <v/>
      </c>
      <c r="H46" s="5" t="str">
        <f t="shared" si="0"/>
        <v/>
      </c>
      <c r="J46" s="5" t="str">
        <f>IFERROR(IF(I46="ND","ND",baoliuxiaoshuwei(((I46-基础页!$B$26)*基础页!$B$16)/C46,2)),"")</f>
        <v/>
      </c>
    </row>
    <row r="47" ht="20.25" customHeight="1" spans="1:10">
      <c r="A47" s="3"/>
      <c r="G47" s="5" t="str">
        <f>IFERROR(baoliuxiaoshuwei((E47-F47)/(E47+F47)*100,0),"")</f>
        <v/>
      </c>
      <c r="H47" s="5" t="str">
        <f t="shared" si="0"/>
        <v/>
      </c>
      <c r="J47" s="5" t="str">
        <f>IFERROR(IF(I47="ND","ND",baoliuxiaoshuwei(((I47-基础页!$B$26)*基础页!$B$16)/C47,2)),"")</f>
        <v/>
      </c>
    </row>
    <row r="48" ht="20.25" customHeight="1" spans="1:10">
      <c r="A48" s="3"/>
      <c r="G48" s="5" t="str">
        <f>IFERROR(baoliuxiaoshuwei((E48-F48)/(E48+F48)*100,0),"")</f>
        <v/>
      </c>
      <c r="H48" s="5" t="str">
        <f t="shared" si="0"/>
        <v/>
      </c>
      <c r="J48" s="5" t="str">
        <f>IFERROR(IF(I48="ND","ND",baoliuxiaoshuwei(((I48-基础页!$B$26)*基础页!$B$16)/C48,2)),"")</f>
        <v/>
      </c>
    </row>
    <row r="49" ht="20.25" customHeight="1" spans="1:10">
      <c r="A49" s="3"/>
      <c r="G49" s="5" t="str">
        <f>IFERROR(baoliuxiaoshuwei((E49-F49)/(E49+F49)*100,0),"")</f>
        <v/>
      </c>
      <c r="H49" s="5" t="str">
        <f t="shared" si="0"/>
        <v/>
      </c>
      <c r="J49" s="5" t="str">
        <f>IFERROR(IF(I49="ND","ND",baoliuxiaoshuwei(((I49-基础页!$B$26)*基础页!$B$16)/C49,2)),"")</f>
        <v/>
      </c>
    </row>
    <row r="50" ht="20.25" customHeight="1" spans="1:10">
      <c r="A50" s="3"/>
      <c r="G50" s="5" t="str">
        <f>IFERROR(baoliuxiaoshuwei((E50-F50)/(E50+F50)*100,0),"")</f>
        <v/>
      </c>
      <c r="H50" s="5" t="str">
        <f t="shared" si="0"/>
        <v/>
      </c>
      <c r="J50" s="5" t="str">
        <f>IFERROR(IF(I50="ND","ND",baoliuxiaoshuwei(((I50-基础页!$B$26)*基础页!$B$16)/C50,2)),"")</f>
        <v/>
      </c>
    </row>
    <row r="51" ht="20.25" customHeight="1" spans="1:10">
      <c r="A51" s="3"/>
      <c r="G51" s="5" t="str">
        <f>IFERROR(baoliuxiaoshuwei((E51-F51)/(E51+F51)*100,2),"")</f>
        <v/>
      </c>
      <c r="H51" s="5" t="str">
        <f t="shared" si="0"/>
        <v/>
      </c>
      <c r="J51" s="5" t="str">
        <f>IFERROR(IF(I51="ND","ND",baoliuxiaoshuwei(((I51-基础页!$B$26)*基础页!$B$16)/C51,2)),"")</f>
        <v/>
      </c>
    </row>
    <row r="52" ht="20.25" customHeight="1" spans="1:10">
      <c r="A52" s="3"/>
      <c r="H52" s="5" t="str">
        <f t="shared" si="0"/>
        <v/>
      </c>
      <c r="J52" s="5" t="str">
        <f>IFERROR(IF(I52="ND","ND",baoliuxiaoshuwei(((I52-基础页!$B$26)*基础页!$B$16)/C52,2)),"")</f>
        <v/>
      </c>
    </row>
    <row r="53" ht="20.25" customHeight="1" spans="1:10">
      <c r="A53" s="3"/>
      <c r="H53" s="5" t="str">
        <f t="shared" si="0"/>
        <v/>
      </c>
      <c r="J53" s="5" t="str">
        <f>IFERROR(IF(I53="ND","ND",baoliuxiaoshuwei(((I53-基础页!$B$26)*基础页!$B$16)/C53,2)),"")</f>
        <v/>
      </c>
    </row>
    <row r="54" ht="20.25" customHeight="1" spans="1:10">
      <c r="A54" s="3"/>
      <c r="H54" s="5" t="str">
        <f t="shared" si="0"/>
        <v/>
      </c>
      <c r="J54" s="5" t="str">
        <f>IFERROR(IF(I54="ND","ND",baoliuxiaoshuwei(((I54-基础页!$B$26)*基础页!$B$16)/C54,2)),"")</f>
        <v/>
      </c>
    </row>
    <row r="55" ht="20.25" customHeight="1" spans="1:10">
      <c r="A55" s="3"/>
      <c r="H55" s="5" t="str">
        <f t="shared" si="0"/>
        <v/>
      </c>
      <c r="J55" s="5" t="str">
        <f>IFERROR(IF(I55="ND","ND",baoliuxiaoshuwei(((I55-基础页!$B$26)*基础页!$B$16)/C55,2)),"")</f>
        <v/>
      </c>
    </row>
    <row r="56" ht="20.25" customHeight="1" spans="1:10">
      <c r="A56" s="3"/>
      <c r="H56" s="5" t="str">
        <f t="shared" si="0"/>
        <v/>
      </c>
      <c r="J56" s="5" t="str">
        <f>IFERROR(IF(I56="ND","ND",baoliuxiaoshuwei(((I56-基础页!$B$26)*基础页!$B$16)/C56,2)),"")</f>
        <v/>
      </c>
    </row>
    <row r="57" ht="20.25" customHeight="1" spans="1:10">
      <c r="A57" s="3"/>
      <c r="H57" s="5" t="str">
        <f t="shared" si="0"/>
        <v/>
      </c>
      <c r="J57" s="5" t="str">
        <f>IFERROR(IF(I57="ND","ND",baoliuxiaoshuwei(((I57-基础页!$B$26)*基础页!$B$16)/C57,2)),"")</f>
        <v/>
      </c>
    </row>
    <row r="58" ht="20.25" customHeight="1" spans="1:10">
      <c r="A58" s="3"/>
      <c r="H58" s="5" t="str">
        <f t="shared" si="0"/>
        <v/>
      </c>
      <c r="J58" s="5" t="str">
        <f>IFERROR(IF(I58="ND","ND",baoliuxiaoshuwei(((I58-基础页!$B$26)*基础页!$B$16)/C58,2)),"")</f>
        <v/>
      </c>
    </row>
    <row r="59" ht="20.25" customHeight="1" spans="1:10">
      <c r="A59" s="3"/>
      <c r="H59" s="5" t="str">
        <f t="shared" si="0"/>
        <v/>
      </c>
      <c r="J59" s="5" t="str">
        <f>IFERROR(IF(I59="ND","ND",baoliuxiaoshuwei(((I59-基础页!$B$26)*基础页!$B$16)/C59,2)),"")</f>
        <v/>
      </c>
    </row>
    <row r="60" ht="20.25" customHeight="1" spans="1:10">
      <c r="A60" s="3"/>
      <c r="H60" s="5" t="str">
        <f t="shared" si="0"/>
        <v/>
      </c>
      <c r="J60" s="5" t="str">
        <f>IFERROR(IF(I60="ND","ND",baoliuxiaoshuwei(((I60-基础页!$B$26)*基础页!$B$16)/C60,2)),"")</f>
        <v/>
      </c>
    </row>
    <row r="61" ht="20.25" customHeight="1" spans="1:10">
      <c r="A61" s="3"/>
      <c r="H61" s="5" t="str">
        <f t="shared" si="0"/>
        <v/>
      </c>
      <c r="J61" s="5" t="str">
        <f>IFERROR(IF(I61="ND","ND",baoliuxiaoshuwei(((I61-基础页!$B$26)*基础页!$B$16)/C61,2)),"")</f>
        <v/>
      </c>
    </row>
    <row r="62" ht="20.25" customHeight="1" spans="1:10">
      <c r="A62" s="3"/>
      <c r="H62" s="5" t="str">
        <f t="shared" si="0"/>
        <v/>
      </c>
      <c r="J62" s="5" t="str">
        <f>IFERROR(IF(I62="ND","ND",baoliuxiaoshuwei(((I62-基础页!$B$26)*基础页!$B$16)/C62,2)),"")</f>
        <v/>
      </c>
    </row>
    <row r="63" ht="20.25" customHeight="1" spans="1:10">
      <c r="A63" s="3"/>
      <c r="H63" s="5" t="str">
        <f t="shared" si="0"/>
        <v/>
      </c>
      <c r="J63" s="5" t="str">
        <f>IFERROR(IF(I63="ND","ND",baoliuxiaoshuwei(((I63-基础页!$B$26)*基础页!$B$16)/C63,2)),"")</f>
        <v/>
      </c>
    </row>
    <row r="64" ht="20.25" customHeight="1" spans="1:10">
      <c r="A64" s="3"/>
      <c r="H64" s="5" t="str">
        <f t="shared" si="0"/>
        <v/>
      </c>
      <c r="J64" s="5" t="str">
        <f>IFERROR(IF(I64="ND","ND",baoliuxiaoshuwei(((I64-基础页!$B$26)*基础页!$B$16)/C64,2)),"")</f>
        <v/>
      </c>
    </row>
    <row r="65" ht="20.25" customHeight="1" spans="1:10">
      <c r="A65" s="3"/>
      <c r="H65" s="5" t="str">
        <f t="shared" si="0"/>
        <v/>
      </c>
      <c r="J65" s="5" t="str">
        <f>IFERROR(IF(I65="ND","ND",baoliuxiaoshuwei(((I65-基础页!$B$26)*基础页!$B$16)/C65,2)),"")</f>
        <v/>
      </c>
    </row>
    <row r="66" ht="20.25" customHeight="1" spans="1:10">
      <c r="A66" s="3"/>
      <c r="H66" s="5" t="str">
        <f t="shared" si="0"/>
        <v/>
      </c>
      <c r="J66" s="5" t="str">
        <f>IFERROR(IF(I66="ND","ND",baoliuxiaoshuwei(((I66-基础页!$B$26)*基础页!$B$16)/C66,2)),"")</f>
        <v/>
      </c>
    </row>
    <row r="67" ht="20.25" customHeight="1" spans="1:10">
      <c r="A67" s="3"/>
      <c r="H67" s="5" t="str">
        <f t="shared" si="0"/>
        <v/>
      </c>
      <c r="J67" s="5" t="str">
        <f>IFERROR(IF(I67="ND","ND",baoliuxiaoshuwei(((I67-基础页!$B$26)*基础页!$B$16)/C67,2)),"")</f>
        <v/>
      </c>
    </row>
    <row r="68" ht="20.25" customHeight="1" spans="1:10">
      <c r="A68" s="3"/>
      <c r="H68" s="5" t="str">
        <f t="shared" si="0"/>
        <v/>
      </c>
      <c r="J68" s="5" t="str">
        <f>IFERROR(IF(I68="ND","ND",baoliuxiaoshuwei(((I68-基础页!$B$26)*基础页!$B$16)/C68,2)),"")</f>
        <v/>
      </c>
    </row>
    <row r="69" ht="20.25" customHeight="1" spans="1:10">
      <c r="A69" s="3"/>
      <c r="H69" s="5" t="str">
        <f t="shared" si="0"/>
        <v/>
      </c>
      <c r="J69" s="5" t="str">
        <f>IFERROR(IF(I69="ND","ND",baoliuxiaoshuwei(((I69-基础页!$B$26)*基础页!$B$16)/C69,2)),"")</f>
        <v/>
      </c>
    </row>
    <row r="70" ht="20.25" customHeight="1" spans="1:10">
      <c r="A70" s="3"/>
      <c r="H70" s="5" t="str">
        <f t="shared" ref="H70:H133" si="1">IFERROR(IF(ISBLANK(I70),"",IF(J70="ND","否","是")),"")</f>
        <v/>
      </c>
      <c r="J70" s="5" t="str">
        <f>IFERROR(IF(I70="ND","ND",baoliuxiaoshuwei(((I70-基础页!$B$26)*基础页!$B$16)/C70,2)),"")</f>
        <v/>
      </c>
    </row>
    <row r="71" ht="20.25" customHeight="1" spans="1:10">
      <c r="A71" s="3"/>
      <c r="H71" s="5" t="str">
        <f t="shared" si="1"/>
        <v/>
      </c>
      <c r="J71" s="5" t="str">
        <f>IFERROR(IF(I71="ND","ND",baoliuxiaoshuwei(((I71-基础页!$B$26)*基础页!$B$16)/C71,2)),"")</f>
        <v/>
      </c>
    </row>
    <row r="72" ht="20.25" customHeight="1" spans="1:10">
      <c r="A72" s="3"/>
      <c r="H72" s="5" t="str">
        <f t="shared" si="1"/>
        <v/>
      </c>
      <c r="J72" s="5" t="str">
        <f>IFERROR(IF(I72="ND","ND",baoliuxiaoshuwei(((I72-基础页!$B$26)*基础页!$B$16)/C72,2)),"")</f>
        <v/>
      </c>
    </row>
    <row r="73" ht="20.25" customHeight="1" spans="1:10">
      <c r="A73" s="3"/>
      <c r="H73" s="5" t="str">
        <f t="shared" si="1"/>
        <v/>
      </c>
      <c r="J73" s="5" t="str">
        <f>IFERROR(IF(I73="ND","ND",baoliuxiaoshuwei(((I73-基础页!$B$26)*基础页!$B$16)/C73,2)),"")</f>
        <v/>
      </c>
    </row>
    <row r="74" ht="20.25" customHeight="1" spans="1:10">
      <c r="A74" s="3"/>
      <c r="H74" s="5" t="str">
        <f t="shared" si="1"/>
        <v/>
      </c>
      <c r="J74" s="5" t="str">
        <f>IFERROR(IF(I74="ND","ND",baoliuxiaoshuwei(((I74-基础页!$B$26)*基础页!$B$16)/C74,2)),"")</f>
        <v/>
      </c>
    </row>
    <row r="75" ht="20.25" customHeight="1" spans="1:10">
      <c r="A75" s="3"/>
      <c r="H75" s="5" t="str">
        <f t="shared" si="1"/>
        <v/>
      </c>
      <c r="J75" s="5" t="str">
        <f>IFERROR(IF(I75="ND","ND",baoliuxiaoshuwei(((I75-基础页!$B$26)*基础页!$B$16)/C75,2)),"")</f>
        <v/>
      </c>
    </row>
    <row r="76" ht="20.25" customHeight="1" spans="1:10">
      <c r="A76" s="3"/>
      <c r="H76" s="5" t="str">
        <f t="shared" si="1"/>
        <v/>
      </c>
      <c r="J76" s="5" t="str">
        <f>IFERROR(IF(I76="ND","ND",baoliuxiaoshuwei(((I76-基础页!$B$26)*基础页!$B$16)/C76,2)),"")</f>
        <v/>
      </c>
    </row>
    <row r="77" ht="20.25" customHeight="1" spans="1:10">
      <c r="A77" s="3"/>
      <c r="H77" s="5" t="str">
        <f t="shared" si="1"/>
        <v/>
      </c>
      <c r="J77" s="5" t="str">
        <f>IFERROR(IF(I77="ND","ND",baoliuxiaoshuwei(((I77-基础页!$B$26)*基础页!$B$16)/C77,2)),"")</f>
        <v/>
      </c>
    </row>
    <row r="78" ht="20.25" customHeight="1" spans="1:10">
      <c r="A78" s="3"/>
      <c r="H78" s="5" t="str">
        <f t="shared" si="1"/>
        <v/>
      </c>
      <c r="J78" s="5" t="str">
        <f>IFERROR(IF(I78="ND","ND",baoliuxiaoshuwei(((I78-基础页!$B$26)*基础页!$B$16)/C78,2)),"")</f>
        <v/>
      </c>
    </row>
    <row r="79" ht="20.25" customHeight="1" spans="1:10">
      <c r="A79" s="3"/>
      <c r="H79" s="5" t="str">
        <f t="shared" si="1"/>
        <v/>
      </c>
      <c r="J79" s="5" t="str">
        <f>IFERROR(IF(I79="ND","ND",baoliuxiaoshuwei(((I79-基础页!$B$26)*基础页!$B$16)/C79,2)),"")</f>
        <v/>
      </c>
    </row>
    <row r="80" ht="20.25" customHeight="1" spans="1:10">
      <c r="A80" s="3"/>
      <c r="H80" s="5" t="str">
        <f t="shared" si="1"/>
        <v/>
      </c>
      <c r="J80" s="5" t="str">
        <f>IFERROR(IF(I80="ND","ND",baoliuxiaoshuwei(((I80-基础页!$B$26)*基础页!$B$16)/C80,2)),"")</f>
        <v/>
      </c>
    </row>
    <row r="81" ht="20.25" customHeight="1" spans="1:10">
      <c r="A81" s="3"/>
      <c r="H81" s="5" t="str">
        <f t="shared" si="1"/>
        <v/>
      </c>
      <c r="J81" s="5" t="str">
        <f>IFERROR(IF(I81="ND","ND",baoliuxiaoshuwei(((I81-基础页!$B$26)*基础页!$B$16)/C81,2)),"")</f>
        <v/>
      </c>
    </row>
    <row r="82" ht="20.25" customHeight="1" spans="1:10">
      <c r="A82" s="3"/>
      <c r="H82" s="5" t="str">
        <f t="shared" si="1"/>
        <v/>
      </c>
      <c r="J82" s="5" t="str">
        <f>IFERROR(IF(I82="ND","ND",baoliuxiaoshuwei(((I82-基础页!$B$26)*基础页!$B$16)/C82,2)),"")</f>
        <v/>
      </c>
    </row>
    <row r="83" ht="20.25" customHeight="1" spans="1:10">
      <c r="A83" s="3"/>
      <c r="H83" s="5" t="str">
        <f t="shared" si="1"/>
        <v/>
      </c>
      <c r="J83" s="5" t="str">
        <f>IFERROR(IF(I83="ND","ND",baoliuxiaoshuwei(((I83-基础页!$B$26)*基础页!$B$16)/C83,2)),"")</f>
        <v/>
      </c>
    </row>
    <row r="84" ht="20.25" customHeight="1" spans="1:10">
      <c r="A84" s="3"/>
      <c r="H84" s="5" t="str">
        <f t="shared" si="1"/>
        <v/>
      </c>
      <c r="J84" s="5" t="str">
        <f>IFERROR(IF(I84="ND","ND",baoliuxiaoshuwei(((I84-基础页!$B$26)*基础页!$B$16)/C84,2)),"")</f>
        <v/>
      </c>
    </row>
    <row r="85" ht="20.25" customHeight="1" spans="1:10">
      <c r="A85" s="3"/>
      <c r="H85" s="5" t="str">
        <f t="shared" si="1"/>
        <v/>
      </c>
      <c r="J85" s="5" t="str">
        <f>IFERROR(IF(I85="ND","ND",baoliuxiaoshuwei(((I85-基础页!$B$26)*基础页!$B$16)/C85,2)),"")</f>
        <v/>
      </c>
    </row>
    <row r="86" ht="20.25" customHeight="1" spans="1:10">
      <c r="A86" s="3"/>
      <c r="H86" s="5" t="str">
        <f t="shared" si="1"/>
        <v/>
      </c>
      <c r="J86" s="5" t="str">
        <f>IFERROR(IF(I86="ND","ND",baoliuxiaoshuwei(((I86-基础页!$B$26)*基础页!$B$16)/C86,2)),"")</f>
        <v/>
      </c>
    </row>
    <row r="87" ht="20.25" customHeight="1" spans="1:10">
      <c r="A87" s="3"/>
      <c r="H87" s="5" t="str">
        <f t="shared" si="1"/>
        <v/>
      </c>
      <c r="J87" s="5" t="str">
        <f>IFERROR(IF(I87="ND","ND",baoliuxiaoshuwei(((I87-基础页!$B$26)*基础页!$B$16)/C87,2)),"")</f>
        <v/>
      </c>
    </row>
    <row r="88" ht="20.25" customHeight="1" spans="1:10">
      <c r="A88" s="3"/>
      <c r="H88" s="5" t="str">
        <f t="shared" si="1"/>
        <v/>
      </c>
      <c r="J88" s="5" t="str">
        <f>IFERROR(IF(I88="ND","ND",baoliuxiaoshuwei(((I88-基础页!$B$26)*基础页!$B$16)/C88,2)),"")</f>
        <v/>
      </c>
    </row>
    <row r="89" ht="20.25" customHeight="1" spans="1:10">
      <c r="A89" s="3"/>
      <c r="H89" s="5" t="str">
        <f t="shared" si="1"/>
        <v/>
      </c>
      <c r="J89" s="5" t="str">
        <f>IFERROR(IF(I89="ND","ND",baoliuxiaoshuwei(((I89-基础页!$B$26)*基础页!$B$16)/C89,2)),"")</f>
        <v/>
      </c>
    </row>
    <row r="90" ht="20.25" customHeight="1" spans="1:10">
      <c r="A90" s="3"/>
      <c r="H90" s="5" t="str">
        <f t="shared" si="1"/>
        <v/>
      </c>
      <c r="J90" s="5" t="str">
        <f>IFERROR(IF(I90="ND","ND",baoliuxiaoshuwei(((I90-基础页!$B$26)*基础页!$B$16)/C90,2)),"")</f>
        <v/>
      </c>
    </row>
    <row r="91" ht="20.25" customHeight="1" spans="1:10">
      <c r="A91" s="3"/>
      <c r="H91" s="5" t="str">
        <f t="shared" si="1"/>
        <v/>
      </c>
      <c r="J91" s="5" t="str">
        <f>IFERROR(IF(I91="ND","ND",baoliuxiaoshuwei(((I91-基础页!$B$26)*基础页!$B$16)/C91,2)),"")</f>
        <v/>
      </c>
    </row>
    <row r="92" ht="20.25" customHeight="1" spans="1:10">
      <c r="A92" s="3"/>
      <c r="H92" s="5" t="str">
        <f t="shared" si="1"/>
        <v/>
      </c>
      <c r="J92" s="5" t="str">
        <f>IFERROR(IF(I92="ND","ND",baoliuxiaoshuwei(((I92-基础页!$B$26)*基础页!$B$16)/C92,2)),"")</f>
        <v/>
      </c>
    </row>
    <row r="93" ht="20.25" customHeight="1" spans="1:10">
      <c r="A93" s="3"/>
      <c r="H93" s="5" t="str">
        <f t="shared" si="1"/>
        <v/>
      </c>
      <c r="J93" s="5" t="str">
        <f>IFERROR(IF(I93="ND","ND",baoliuxiaoshuwei(((I93-基础页!$B$26)*基础页!$B$16)/C93,2)),"")</f>
        <v/>
      </c>
    </row>
    <row r="94" ht="20.25" customHeight="1" spans="1:10">
      <c r="A94" s="3"/>
      <c r="H94" s="5" t="str">
        <f t="shared" si="1"/>
        <v/>
      </c>
      <c r="J94" s="5" t="str">
        <f>IFERROR(IF(I94="ND","ND",baoliuxiaoshuwei(((I94-基础页!$B$26)*基础页!$B$16)/C94,2)),"")</f>
        <v/>
      </c>
    </row>
    <row r="95" ht="20.25" customHeight="1" spans="1:10">
      <c r="A95" s="3"/>
      <c r="H95" s="5" t="str">
        <f t="shared" si="1"/>
        <v/>
      </c>
      <c r="J95" s="5" t="str">
        <f>IFERROR(IF(I95="ND","ND",baoliuxiaoshuwei(((I95-基础页!$B$26)*基础页!$B$16)/C95,2)),"")</f>
        <v/>
      </c>
    </row>
    <row r="96" ht="20.25" customHeight="1" spans="1:10">
      <c r="A96" s="3"/>
      <c r="H96" s="5" t="str">
        <f t="shared" si="1"/>
        <v/>
      </c>
      <c r="J96" s="5" t="str">
        <f>IFERROR(IF(I96="ND","ND",baoliuxiaoshuwei(((I96-基础页!$B$26)*基础页!$B$16)/C96,2)),"")</f>
        <v/>
      </c>
    </row>
    <row r="97" ht="20.25" customHeight="1" spans="1:10">
      <c r="A97" s="3"/>
      <c r="H97" s="5" t="str">
        <f t="shared" si="1"/>
        <v/>
      </c>
      <c r="J97" s="5" t="str">
        <f>IFERROR(IF(I97="ND","ND",baoliuxiaoshuwei(((I97-基础页!$B$26)*基础页!$B$16)/C97,2)),"")</f>
        <v/>
      </c>
    </row>
    <row r="98" ht="20.25" customHeight="1" spans="1:10">
      <c r="A98" s="3"/>
      <c r="H98" s="5" t="str">
        <f t="shared" si="1"/>
        <v/>
      </c>
      <c r="J98" s="5" t="str">
        <f>IFERROR(IF(I98="ND","ND",baoliuxiaoshuwei(((I98-基础页!$B$26)*基础页!$B$16)/C98,2)),"")</f>
        <v/>
      </c>
    </row>
    <row r="99" ht="20.25" customHeight="1" spans="1:10">
      <c r="A99" s="3"/>
      <c r="H99" s="5" t="str">
        <f t="shared" si="1"/>
        <v/>
      </c>
      <c r="J99" s="5" t="str">
        <f>IFERROR(IF(I99="ND","ND",baoliuxiaoshuwei(((I99-基础页!$B$26)*基础页!$B$16)/C99,2)),"")</f>
        <v/>
      </c>
    </row>
    <row r="100" ht="20.25" customHeight="1" spans="1:10">
      <c r="A100" s="3"/>
      <c r="H100" s="5" t="str">
        <f t="shared" si="1"/>
        <v/>
      </c>
      <c r="J100" s="5" t="str">
        <f>IFERROR(IF(I100="ND","ND",baoliuxiaoshuwei(((I100-基础页!$B$26)*基础页!$B$16)/C100,2)),"")</f>
        <v/>
      </c>
    </row>
    <row r="101" ht="20.25" customHeight="1" spans="1:10">
      <c r="A101" s="3"/>
      <c r="H101" s="5" t="str">
        <f t="shared" si="1"/>
        <v/>
      </c>
      <c r="J101" s="5" t="str">
        <f>IFERROR(IF(I101="ND","ND",baoliuxiaoshuwei(((I101-基础页!$B$26)*基础页!$B$16)/C101,2)),"")</f>
        <v/>
      </c>
    </row>
    <row r="102" ht="20.25" customHeight="1" spans="8:10">
      <c r="H102" s="5" t="str">
        <f t="shared" si="1"/>
        <v/>
      </c>
      <c r="J102" s="5" t="str">
        <f>IFERROR(IF(I102="ND","ND",baoliuxiaoshuwei(((I102-基础页!$B$26)*基础页!$B$16)/C102,2)),"")</f>
        <v/>
      </c>
    </row>
    <row r="103" ht="20.25" customHeight="1" spans="8:10">
      <c r="H103" s="5" t="str">
        <f t="shared" si="1"/>
        <v/>
      </c>
      <c r="J103" s="5" t="str">
        <f>IFERROR(IF(I103="ND","ND",baoliuxiaoshuwei(((I103-基础页!$B$26)*基础页!$B$16)/C103,2)),"")</f>
        <v/>
      </c>
    </row>
    <row r="104" ht="20.25" customHeight="1" spans="8:10">
      <c r="H104" s="5" t="str">
        <f t="shared" si="1"/>
        <v/>
      </c>
      <c r="J104" s="5" t="str">
        <f>IFERROR(IF(I104="ND","ND",baoliuxiaoshuwei(((I104-基础页!$B$26)*基础页!$B$16)/C104,2)),"")</f>
        <v/>
      </c>
    </row>
    <row r="105" ht="20.25" customHeight="1" spans="8:10">
      <c r="H105" s="5" t="str">
        <f t="shared" si="1"/>
        <v/>
      </c>
      <c r="J105" s="5" t="str">
        <f>IFERROR(IF(I105="ND","ND",baoliuxiaoshuwei(((I105-基础页!$B$26)*基础页!$B$16)/C105,2)),"")</f>
        <v/>
      </c>
    </row>
    <row r="106" ht="20.25" customHeight="1" spans="8:10">
      <c r="H106" s="5" t="str">
        <f t="shared" si="1"/>
        <v/>
      </c>
      <c r="J106" s="5" t="str">
        <f>IFERROR(IF(I106="ND","ND",baoliuxiaoshuwei(((I106-基础页!$B$26)*基础页!$B$16)/C106,2)),"")</f>
        <v/>
      </c>
    </row>
    <row r="107" ht="20.25" customHeight="1" spans="8:10">
      <c r="H107" s="5" t="str">
        <f t="shared" si="1"/>
        <v/>
      </c>
      <c r="J107" s="5" t="str">
        <f>IFERROR(IF(I107="ND","ND",baoliuxiaoshuwei(((I107-基础页!$B$26)*基础页!$B$16)/C107,2)),"")</f>
        <v/>
      </c>
    </row>
    <row r="108" ht="20.25" customHeight="1" spans="8:10">
      <c r="H108" s="5" t="str">
        <f t="shared" si="1"/>
        <v/>
      </c>
      <c r="J108" s="5" t="str">
        <f>IFERROR(IF(I108="ND","ND",baoliuxiaoshuwei(((I108-基础页!$B$26)*基础页!$B$16)/C108,2)),"")</f>
        <v/>
      </c>
    </row>
    <row r="109" ht="20.25" customHeight="1" spans="8:10">
      <c r="H109" s="5" t="str">
        <f t="shared" si="1"/>
        <v/>
      </c>
      <c r="J109" s="5" t="str">
        <f>IFERROR(IF(I109="ND","ND",baoliuxiaoshuwei(((I109-基础页!$B$26)*基础页!$B$16)/C109,2)),"")</f>
        <v/>
      </c>
    </row>
    <row r="110" ht="20.25" customHeight="1" spans="8:10">
      <c r="H110" s="5" t="str">
        <f t="shared" si="1"/>
        <v/>
      </c>
      <c r="J110" s="5" t="str">
        <f>IFERROR(IF(I110="ND","ND",baoliuxiaoshuwei(((I110-基础页!$B$26)*基础页!$B$16)/C110,2)),"")</f>
        <v/>
      </c>
    </row>
    <row r="111" ht="20.25" customHeight="1" spans="8:10">
      <c r="H111" s="5" t="str">
        <f t="shared" si="1"/>
        <v/>
      </c>
      <c r="J111" s="5" t="str">
        <f>IFERROR(IF(I111="ND","ND",baoliuxiaoshuwei(((I111-基础页!$B$26)*基础页!$B$16)/C111,2)),"")</f>
        <v/>
      </c>
    </row>
    <row r="112" ht="20.25" customHeight="1" spans="8:10">
      <c r="H112" s="5" t="str">
        <f t="shared" si="1"/>
        <v/>
      </c>
      <c r="J112" s="5" t="str">
        <f>IFERROR(IF(I112="ND","ND",baoliuxiaoshuwei(((I112-基础页!$B$26)*基础页!$B$16)/C112,2)),"")</f>
        <v/>
      </c>
    </row>
    <row r="113" ht="20.25" customHeight="1" spans="8:10">
      <c r="H113" s="5" t="str">
        <f t="shared" si="1"/>
        <v/>
      </c>
      <c r="J113" s="5" t="str">
        <f>IFERROR(IF(I113="ND","ND",baoliuxiaoshuwei(((I113-基础页!$B$26)*基础页!$B$16)/C113,2)),"")</f>
        <v/>
      </c>
    </row>
    <row r="114" ht="20.25" customHeight="1" spans="8:10">
      <c r="H114" s="5" t="str">
        <f t="shared" si="1"/>
        <v/>
      </c>
      <c r="J114" s="5" t="str">
        <f>IFERROR(IF(I114="ND","ND",baoliuxiaoshuwei(((I114-基础页!$B$26)*基础页!$B$16)/C114,2)),"")</f>
        <v/>
      </c>
    </row>
    <row r="115" ht="20.25" customHeight="1" spans="8:10">
      <c r="H115" s="5" t="str">
        <f t="shared" si="1"/>
        <v/>
      </c>
      <c r="J115" s="5" t="str">
        <f>IFERROR(IF(I115="ND","ND",baoliuxiaoshuwei(((I115-基础页!$B$26)*基础页!$B$16)/C115,2)),"")</f>
        <v/>
      </c>
    </row>
    <row r="116" ht="20.25" customHeight="1" spans="8:10">
      <c r="H116" s="5" t="str">
        <f t="shared" si="1"/>
        <v/>
      </c>
      <c r="J116" s="5" t="str">
        <f>IFERROR(IF(I116="ND","ND",baoliuxiaoshuwei(((I116-基础页!$B$26)*基础页!$B$16)/C116,2)),"")</f>
        <v/>
      </c>
    </row>
    <row r="117" ht="20.25" customHeight="1" spans="8:10">
      <c r="H117" s="5" t="str">
        <f t="shared" si="1"/>
        <v/>
      </c>
      <c r="J117" s="5" t="str">
        <f>IFERROR(IF(I117="ND","ND",baoliuxiaoshuwei(((I117-基础页!$B$26)*基础页!$B$16)/C117,2)),"")</f>
        <v/>
      </c>
    </row>
    <row r="118" ht="20.25" customHeight="1" spans="8:10">
      <c r="H118" s="5" t="str">
        <f t="shared" si="1"/>
        <v/>
      </c>
      <c r="J118" s="5" t="str">
        <f>IFERROR(IF(I118="ND","ND",baoliuxiaoshuwei(((I118-基础页!$B$26)*基础页!$B$16)/C118,2)),"")</f>
        <v/>
      </c>
    </row>
    <row r="119" ht="20.25" customHeight="1" spans="8:10">
      <c r="H119" s="5" t="str">
        <f t="shared" si="1"/>
        <v/>
      </c>
      <c r="J119" s="5" t="str">
        <f>IFERROR(IF(I119="ND","ND",baoliuxiaoshuwei(((I119-基础页!$B$26)*基础页!$B$16)/C119,2)),"")</f>
        <v/>
      </c>
    </row>
    <row r="120" ht="20.25" customHeight="1" spans="8:10">
      <c r="H120" s="5" t="str">
        <f t="shared" si="1"/>
        <v/>
      </c>
      <c r="J120" s="5" t="str">
        <f>IFERROR(IF(I120="ND","ND",baoliuxiaoshuwei(((I120-基础页!$B$26)*基础页!$B$16)/C120,2)),"")</f>
        <v/>
      </c>
    </row>
    <row r="121" ht="20.25" customHeight="1" spans="8:10">
      <c r="H121" s="5" t="str">
        <f t="shared" si="1"/>
        <v/>
      </c>
      <c r="J121" s="5" t="str">
        <f>IFERROR(IF(I121="ND","ND",baoliuxiaoshuwei(((I121-基础页!$B$26)*基础页!$B$16)/C121,2)),"")</f>
        <v/>
      </c>
    </row>
    <row r="122" ht="20.25" customHeight="1" spans="8:10">
      <c r="H122" s="5" t="str">
        <f t="shared" si="1"/>
        <v/>
      </c>
      <c r="J122" s="5" t="str">
        <f>IFERROR(IF(I122="ND","ND",baoliuxiaoshuwei(((I122-基础页!$B$26)*基础页!$B$16)/C122,2)),"")</f>
        <v/>
      </c>
    </row>
    <row r="123" ht="20.25" customHeight="1" spans="8:10">
      <c r="H123" s="5" t="str">
        <f t="shared" si="1"/>
        <v/>
      </c>
      <c r="J123" s="5" t="str">
        <f>IFERROR(IF(I123="ND","ND",baoliuxiaoshuwei(((I123-基础页!$B$26)*基础页!$B$16)/C123,2)),"")</f>
        <v/>
      </c>
    </row>
    <row r="124" ht="20.25" customHeight="1" spans="8:10">
      <c r="H124" s="5" t="str">
        <f t="shared" si="1"/>
        <v/>
      </c>
      <c r="J124" s="5" t="str">
        <f>IFERROR(IF(I124="ND","ND",baoliuxiaoshuwei(((I124-基础页!$B$26)*基础页!$B$16)/C124,2)),"")</f>
        <v/>
      </c>
    </row>
    <row r="125" ht="20.25" customHeight="1" spans="8:10">
      <c r="H125" s="5" t="str">
        <f t="shared" si="1"/>
        <v/>
      </c>
      <c r="J125" s="5" t="str">
        <f>IFERROR(IF(I125="ND","ND",baoliuxiaoshuwei(((I125-基础页!$B$26)*基础页!$B$16)/C125,2)),"")</f>
        <v/>
      </c>
    </row>
    <row r="126" ht="20.25" customHeight="1" spans="8:10">
      <c r="H126" s="5" t="str">
        <f t="shared" si="1"/>
        <v/>
      </c>
      <c r="J126" s="5" t="str">
        <f>IFERROR(IF(I126="ND","ND",baoliuxiaoshuwei(((I126-基础页!$B$26)*基础页!$B$16)/C126,2)),"")</f>
        <v/>
      </c>
    </row>
    <row r="127" ht="20.25" customHeight="1" spans="8:10">
      <c r="H127" s="5" t="str">
        <f t="shared" si="1"/>
        <v/>
      </c>
      <c r="J127" s="5" t="str">
        <f>IFERROR(IF(I127="ND","ND",baoliuxiaoshuwei(((I127-基础页!$B$26)*基础页!$B$16)/C127,2)),"")</f>
        <v/>
      </c>
    </row>
    <row r="128" ht="20.25" customHeight="1" spans="8:10">
      <c r="H128" s="5" t="str">
        <f t="shared" si="1"/>
        <v/>
      </c>
      <c r="J128" s="5" t="str">
        <f>IFERROR(IF(I128="ND","ND",baoliuxiaoshuwei(((I128-基础页!$B$26)*基础页!$B$16)/C128,2)),"")</f>
        <v/>
      </c>
    </row>
    <row r="129" ht="20.25" customHeight="1" spans="8:10">
      <c r="H129" s="5" t="str">
        <f t="shared" si="1"/>
        <v/>
      </c>
      <c r="J129" s="5" t="str">
        <f>IFERROR(IF(I129="ND","ND",baoliuxiaoshuwei(((I129-基础页!$B$26)*基础页!$B$16)/C129,2)),"")</f>
        <v/>
      </c>
    </row>
    <row r="130" ht="20.25" customHeight="1" spans="8:10">
      <c r="H130" s="5" t="str">
        <f t="shared" si="1"/>
        <v/>
      </c>
      <c r="J130" s="5" t="str">
        <f>IFERROR(IF(I130="ND","ND",baoliuxiaoshuwei(((I130-基础页!$B$26)*基础页!$B$16)/C130,2)),"")</f>
        <v/>
      </c>
    </row>
    <row r="131" ht="20.25" customHeight="1" spans="8:10">
      <c r="H131" s="5" t="str">
        <f t="shared" si="1"/>
        <v/>
      </c>
      <c r="J131" s="5" t="str">
        <f>IFERROR(IF(I131="ND","ND",baoliuxiaoshuwei(((I131-基础页!$B$26)*基础页!$B$16)/C131,2)),"")</f>
        <v/>
      </c>
    </row>
    <row r="132" ht="20.25" customHeight="1" spans="8:10">
      <c r="H132" s="5" t="str">
        <f t="shared" si="1"/>
        <v/>
      </c>
      <c r="J132" s="5" t="str">
        <f>IFERROR(IF(I132="ND","ND",baoliuxiaoshuwei(((I132-基础页!$B$26)*基础页!$B$16)/C132,2)),"")</f>
        <v/>
      </c>
    </row>
    <row r="133" ht="20.25" customHeight="1" spans="8:10">
      <c r="H133" s="5" t="str">
        <f t="shared" si="1"/>
        <v/>
      </c>
      <c r="J133" s="5" t="str">
        <f>IFERROR(IF(I133="ND","ND",baoliuxiaoshuwei(((I133-基础页!$B$26)*基础页!$B$16)/C133,2)),"")</f>
        <v/>
      </c>
    </row>
    <row r="134" ht="20.25" customHeight="1" spans="8:10">
      <c r="H134" s="5" t="str">
        <f t="shared" ref="H134:H197" si="2">IFERROR(IF(ISBLANK(I134),"",IF(J134="ND","否","是")),"")</f>
        <v/>
      </c>
      <c r="J134" s="5" t="str">
        <f>IFERROR(IF(I134="ND","ND",baoliuxiaoshuwei(((I134-基础页!$B$26)*基础页!$B$16)/C134,2)),"")</f>
        <v/>
      </c>
    </row>
    <row r="135" ht="20.25" customHeight="1" spans="8:10">
      <c r="H135" s="5" t="str">
        <f t="shared" si="2"/>
        <v/>
      </c>
      <c r="J135" s="5" t="str">
        <f>IFERROR(IF(I135="ND","ND",baoliuxiaoshuwei(((I135-基础页!$B$26)*基础页!$B$16)/C135,2)),"")</f>
        <v/>
      </c>
    </row>
    <row r="136" ht="20.25" customHeight="1" spans="8:10">
      <c r="H136" s="5" t="str">
        <f t="shared" si="2"/>
        <v/>
      </c>
      <c r="J136" s="5" t="str">
        <f>IFERROR(IF(I136="ND","ND",baoliuxiaoshuwei(((I136-基础页!$B$26)*基础页!$B$16)/C136,2)),"")</f>
        <v/>
      </c>
    </row>
    <row r="137" ht="20.25" customHeight="1" spans="8:10">
      <c r="H137" s="5" t="str">
        <f t="shared" si="2"/>
        <v/>
      </c>
      <c r="J137" s="5" t="str">
        <f>IFERROR(IF(I137="ND","ND",baoliuxiaoshuwei(((I137-基础页!$B$26)*基础页!$B$16)/C137,2)),"")</f>
        <v/>
      </c>
    </row>
    <row r="138" ht="20.25" customHeight="1" spans="8:10">
      <c r="H138" s="5" t="str">
        <f t="shared" si="2"/>
        <v/>
      </c>
      <c r="J138" s="5" t="str">
        <f>IFERROR(IF(I138="ND","ND",baoliuxiaoshuwei(((I138-基础页!$B$26)*基础页!$B$16)/C138,2)),"")</f>
        <v/>
      </c>
    </row>
    <row r="139" ht="20.25" customHeight="1" spans="8:10">
      <c r="H139" s="5" t="str">
        <f t="shared" si="2"/>
        <v/>
      </c>
      <c r="J139" s="5" t="str">
        <f>IFERROR(IF(I139="ND","ND",baoliuxiaoshuwei(((I139-基础页!$B$26)*基础页!$B$16)/C139,2)),"")</f>
        <v/>
      </c>
    </row>
    <row r="140" ht="20.25" customHeight="1" spans="8:10">
      <c r="H140" s="5" t="str">
        <f t="shared" si="2"/>
        <v/>
      </c>
      <c r="J140" s="5" t="str">
        <f>IFERROR(IF(I140="ND","ND",baoliuxiaoshuwei(((I140-基础页!$B$26)*基础页!$B$16)/C140,2)),"")</f>
        <v/>
      </c>
    </row>
    <row r="141" ht="20.25" customHeight="1" spans="8:10">
      <c r="H141" s="5" t="str">
        <f t="shared" si="2"/>
        <v/>
      </c>
      <c r="J141" s="5" t="str">
        <f>IFERROR(IF(I141="ND","ND",baoliuxiaoshuwei(((I141-基础页!$B$26)*基础页!$B$16)/C141,2)),"")</f>
        <v/>
      </c>
    </row>
    <row r="142" ht="20.25" customHeight="1" spans="8:10">
      <c r="H142" s="5" t="str">
        <f t="shared" si="2"/>
        <v/>
      </c>
      <c r="J142" s="5" t="str">
        <f>IFERROR(IF(I142="ND","ND",baoliuxiaoshuwei(((I142-基础页!$B$26)*基础页!$B$16)/C142,2)),"")</f>
        <v/>
      </c>
    </row>
    <row r="143" ht="20.25" customHeight="1" spans="8:10">
      <c r="H143" s="5" t="str">
        <f t="shared" si="2"/>
        <v/>
      </c>
      <c r="J143" s="5" t="str">
        <f>IFERROR(IF(I143="ND","ND",baoliuxiaoshuwei(((I143-基础页!$B$26)*基础页!$B$16)/C143,2)),"")</f>
        <v/>
      </c>
    </row>
    <row r="144" ht="20.25" customHeight="1" spans="8:10">
      <c r="H144" s="5" t="str">
        <f t="shared" si="2"/>
        <v/>
      </c>
      <c r="J144" s="5" t="str">
        <f>IFERROR(IF(I144="ND","ND",baoliuxiaoshuwei(((I144-基础页!$B$26)*基础页!$B$16)/C144,2)),"")</f>
        <v/>
      </c>
    </row>
    <row r="145" ht="20.25" customHeight="1" spans="8:10">
      <c r="H145" s="5" t="str">
        <f t="shared" si="2"/>
        <v/>
      </c>
      <c r="J145" s="5" t="str">
        <f>IFERROR(IF(I145="ND","ND",baoliuxiaoshuwei(((I145-基础页!$B$26)*基础页!$B$16)/C145,2)),"")</f>
        <v/>
      </c>
    </row>
    <row r="146" ht="20.25" customHeight="1" spans="8:10">
      <c r="H146" s="5" t="str">
        <f t="shared" si="2"/>
        <v/>
      </c>
      <c r="J146" s="5" t="str">
        <f>IFERROR(IF(I146="ND","ND",baoliuxiaoshuwei(((I146-基础页!$B$26)*基础页!$B$16)/C146,2)),"")</f>
        <v/>
      </c>
    </row>
    <row r="147" ht="20.25" customHeight="1" spans="8:10">
      <c r="H147" s="5" t="str">
        <f t="shared" si="2"/>
        <v/>
      </c>
      <c r="J147" s="5" t="str">
        <f>IFERROR(IF(I147="ND","ND",baoliuxiaoshuwei(((I147-基础页!$B$26)*基础页!$B$16)/C147,2)),"")</f>
        <v/>
      </c>
    </row>
    <row r="148" ht="20.25" customHeight="1" spans="8:10">
      <c r="H148" s="5" t="str">
        <f t="shared" si="2"/>
        <v/>
      </c>
      <c r="J148" s="5" t="str">
        <f>IFERROR(IF(I148="ND","ND",baoliuxiaoshuwei(((I148-基础页!$B$26)*基础页!$B$16)/C148,2)),"")</f>
        <v/>
      </c>
    </row>
    <row r="149" ht="20.25" customHeight="1" spans="8:10">
      <c r="H149" s="5" t="str">
        <f t="shared" si="2"/>
        <v/>
      </c>
      <c r="J149" s="5" t="str">
        <f>IFERROR(IF(I149="ND","ND",baoliuxiaoshuwei(((I149-基础页!$B$26)*基础页!$B$16)/C149,2)),"")</f>
        <v/>
      </c>
    </row>
    <row r="150" ht="20.25" customHeight="1" spans="8:10">
      <c r="H150" s="5" t="str">
        <f t="shared" si="2"/>
        <v/>
      </c>
      <c r="J150" s="5" t="str">
        <f>IFERROR(IF(I150="ND","ND",baoliuxiaoshuwei(((I150-基础页!$B$26)*基础页!$B$16)/C150,2)),"")</f>
        <v/>
      </c>
    </row>
    <row r="151" ht="20.25" customHeight="1" spans="8:10">
      <c r="H151" s="5" t="str">
        <f t="shared" si="2"/>
        <v/>
      </c>
      <c r="J151" s="5" t="str">
        <f>IFERROR(IF(I151="ND","ND",baoliuxiaoshuwei(((I151-基础页!$B$26)*基础页!$B$16)/C151,2)),"")</f>
        <v/>
      </c>
    </row>
    <row r="152" ht="20.25" customHeight="1" spans="8:10">
      <c r="H152" s="5" t="str">
        <f t="shared" si="2"/>
        <v/>
      </c>
      <c r="J152" s="5" t="str">
        <f>IFERROR(IF(I152="ND","ND",baoliuxiaoshuwei(((I152-基础页!$B$26)*基础页!$B$16)/C152,2)),"")</f>
        <v/>
      </c>
    </row>
    <row r="153" ht="20.25" customHeight="1" spans="8:10">
      <c r="H153" s="5" t="str">
        <f t="shared" si="2"/>
        <v/>
      </c>
      <c r="J153" s="5" t="str">
        <f>IFERROR(IF(I153="ND","ND",baoliuxiaoshuwei(((I153-基础页!$B$26)*基础页!$B$16)/C153,2)),"")</f>
        <v/>
      </c>
    </row>
    <row r="154" ht="20.25" customHeight="1" spans="8:10">
      <c r="H154" s="5" t="str">
        <f t="shared" si="2"/>
        <v/>
      </c>
      <c r="J154" s="5" t="str">
        <f>IFERROR(IF(I154="ND","ND",baoliuxiaoshuwei(((I154-基础页!$B$26)*基础页!$B$16)/C154,2)),"")</f>
        <v/>
      </c>
    </row>
    <row r="155" ht="20.25" customHeight="1" spans="8:10">
      <c r="H155" s="5" t="str">
        <f t="shared" si="2"/>
        <v/>
      </c>
      <c r="J155" s="5" t="str">
        <f>IFERROR(IF(I155="ND","ND",baoliuxiaoshuwei(((I155-基础页!$B$26)*基础页!$B$16)/C155,2)),"")</f>
        <v/>
      </c>
    </row>
    <row r="156" ht="20.25" customHeight="1" spans="8:10">
      <c r="H156" s="5" t="str">
        <f t="shared" si="2"/>
        <v/>
      </c>
      <c r="J156" s="5" t="str">
        <f>IFERROR(IF(I156="ND","ND",baoliuxiaoshuwei(((I156-基础页!$B$26)*基础页!$B$16)/C156,2)),"")</f>
        <v/>
      </c>
    </row>
    <row r="157" ht="20.25" customHeight="1" spans="8:10">
      <c r="H157" s="5" t="str">
        <f t="shared" si="2"/>
        <v/>
      </c>
      <c r="J157" s="5" t="str">
        <f>IFERROR(IF(I157="ND","ND",baoliuxiaoshuwei(((I157-基础页!$B$26)*基础页!$B$16)/C157,2)),"")</f>
        <v/>
      </c>
    </row>
    <row r="158" ht="20.25" customHeight="1" spans="8:10">
      <c r="H158" s="5" t="str">
        <f t="shared" si="2"/>
        <v/>
      </c>
      <c r="J158" s="5" t="str">
        <f>IFERROR(IF(I158="ND","ND",baoliuxiaoshuwei(((I158-基础页!$B$26)*基础页!$B$16)/C158,2)),"")</f>
        <v/>
      </c>
    </row>
    <row r="159" ht="20.25" customHeight="1" spans="8:10">
      <c r="H159" s="5" t="str">
        <f t="shared" si="2"/>
        <v/>
      </c>
      <c r="J159" s="5" t="str">
        <f>IFERROR(IF(I159="ND","ND",baoliuxiaoshuwei(((I159-基础页!$B$26)*基础页!$B$16)/C159,2)),"")</f>
        <v/>
      </c>
    </row>
    <row r="160" ht="20.25" customHeight="1" spans="8:10">
      <c r="H160" s="5" t="str">
        <f t="shared" si="2"/>
        <v/>
      </c>
      <c r="J160" s="5" t="str">
        <f>IFERROR(IF(I160="ND","ND",baoliuxiaoshuwei(((I160-基础页!$B$26)*基础页!$B$16)/C160,2)),"")</f>
        <v/>
      </c>
    </row>
    <row r="161" ht="20.25" customHeight="1" spans="8:10">
      <c r="H161" s="5" t="str">
        <f t="shared" si="2"/>
        <v/>
      </c>
      <c r="J161" s="5" t="str">
        <f>IFERROR(IF(I161="ND","ND",baoliuxiaoshuwei(((I161-基础页!$B$26)*基础页!$B$16)/C161,2)),"")</f>
        <v/>
      </c>
    </row>
    <row r="162" ht="20.25" customHeight="1" spans="8:10">
      <c r="H162" s="5" t="str">
        <f t="shared" si="2"/>
        <v/>
      </c>
      <c r="J162" s="5" t="str">
        <f>IFERROR(IF(I162="ND","ND",baoliuxiaoshuwei(((I162-基础页!$B$26)*基础页!$B$16)/C162,2)),"")</f>
        <v/>
      </c>
    </row>
    <row r="163" ht="20.25" customHeight="1" spans="8:10">
      <c r="H163" s="5" t="str">
        <f t="shared" si="2"/>
        <v/>
      </c>
      <c r="J163" s="5" t="str">
        <f>IFERROR(IF(I163="ND","ND",baoliuxiaoshuwei(((I163-基础页!$B$26)*基础页!$B$16)/C163,2)),"")</f>
        <v/>
      </c>
    </row>
    <row r="164" ht="20.25" customHeight="1" spans="8:10">
      <c r="H164" s="5" t="str">
        <f t="shared" si="2"/>
        <v/>
      </c>
      <c r="J164" s="5" t="str">
        <f>IFERROR(IF(I164="ND","ND",baoliuxiaoshuwei(((I164-基础页!$B$26)*基础页!$B$16)/C164,2)),"")</f>
        <v/>
      </c>
    </row>
    <row r="165" ht="20.25" customHeight="1" spans="8:10">
      <c r="H165" s="5" t="str">
        <f t="shared" si="2"/>
        <v/>
      </c>
      <c r="J165" s="5" t="str">
        <f>IFERROR(IF(I165="ND","ND",baoliuxiaoshuwei(((I165-基础页!$B$26)*基础页!$B$16)/C165,2)),"")</f>
        <v/>
      </c>
    </row>
    <row r="166" ht="20.25" customHeight="1" spans="8:10">
      <c r="H166" s="5" t="str">
        <f t="shared" si="2"/>
        <v/>
      </c>
      <c r="J166" s="5" t="str">
        <f>IFERROR(IF(I166="ND","ND",baoliuxiaoshuwei(((I166-基础页!$B$26)*基础页!$B$16)/C166,2)),"")</f>
        <v/>
      </c>
    </row>
    <row r="167" ht="20.25" customHeight="1" spans="8:10">
      <c r="H167" s="5" t="str">
        <f t="shared" si="2"/>
        <v/>
      </c>
      <c r="J167" s="5" t="str">
        <f>IFERROR(IF(I167="ND","ND",baoliuxiaoshuwei(((I167-基础页!$B$26)*基础页!$B$16)/C167,2)),"")</f>
        <v/>
      </c>
    </row>
    <row r="168" ht="20.25" customHeight="1" spans="8:10">
      <c r="H168" s="5" t="str">
        <f t="shared" si="2"/>
        <v/>
      </c>
      <c r="J168" s="5" t="str">
        <f>IFERROR(IF(I168="ND","ND",baoliuxiaoshuwei(((I168-基础页!$B$26)*基础页!$B$16)/C168,2)),"")</f>
        <v/>
      </c>
    </row>
    <row r="169" ht="20.25" customHeight="1" spans="8:10">
      <c r="H169" s="5" t="str">
        <f t="shared" si="2"/>
        <v/>
      </c>
      <c r="J169" s="5" t="str">
        <f>IFERROR(IF(I169="ND","ND",baoliuxiaoshuwei(((I169-基础页!$B$26)*基础页!$B$16)/C169,2)),"")</f>
        <v/>
      </c>
    </row>
    <row r="170" ht="20.25" customHeight="1" spans="8:10">
      <c r="H170" s="5" t="str">
        <f t="shared" si="2"/>
        <v/>
      </c>
      <c r="J170" s="5" t="str">
        <f>IFERROR(IF(I170="ND","ND",baoliuxiaoshuwei(((I170-基础页!$B$26)*基础页!$B$16)/C170,2)),"")</f>
        <v/>
      </c>
    </row>
    <row r="171" ht="20.25" customHeight="1" spans="8:10">
      <c r="H171" s="5" t="str">
        <f t="shared" si="2"/>
        <v/>
      </c>
      <c r="J171" s="5" t="str">
        <f>IFERROR(IF(I171="ND","ND",baoliuxiaoshuwei(((I171-基础页!$B$26)*基础页!$B$16)/C171,2)),"")</f>
        <v/>
      </c>
    </row>
    <row r="172" ht="20.25" customHeight="1" spans="8:10">
      <c r="H172" s="5" t="str">
        <f t="shared" si="2"/>
        <v/>
      </c>
      <c r="J172" s="5" t="str">
        <f>IFERROR(IF(I172="ND","ND",baoliuxiaoshuwei(((I172-基础页!$B$26)*基础页!$B$16)/C172,2)),"")</f>
        <v/>
      </c>
    </row>
    <row r="173" ht="20.25" customHeight="1" spans="8:10">
      <c r="H173" s="5" t="str">
        <f t="shared" si="2"/>
        <v/>
      </c>
      <c r="J173" s="5" t="str">
        <f>IFERROR(IF(I173="ND","ND",baoliuxiaoshuwei(((I173-基础页!$B$26)*基础页!$B$16)/C173,2)),"")</f>
        <v/>
      </c>
    </row>
    <row r="174" ht="20.25" customHeight="1" spans="8:10">
      <c r="H174" s="5" t="str">
        <f t="shared" si="2"/>
        <v/>
      </c>
      <c r="J174" s="5" t="str">
        <f>IFERROR(IF(I174="ND","ND",baoliuxiaoshuwei(((I174-基础页!$B$26)*基础页!$B$16)/C174,2)),"")</f>
        <v/>
      </c>
    </row>
    <row r="175" ht="20.25" customHeight="1" spans="8:10">
      <c r="H175" s="5" t="str">
        <f t="shared" si="2"/>
        <v/>
      </c>
      <c r="J175" s="5" t="str">
        <f>IFERROR(IF(I175="ND","ND",baoliuxiaoshuwei(((I175-基础页!$B$26)*基础页!$B$16)/C175,2)),"")</f>
        <v/>
      </c>
    </row>
    <row r="176" ht="20.25" customHeight="1" spans="8:10">
      <c r="H176" s="5" t="str">
        <f t="shared" si="2"/>
        <v/>
      </c>
      <c r="J176" s="5" t="str">
        <f>IFERROR(IF(I176="ND","ND",baoliuxiaoshuwei(((I176-基础页!$B$26)*基础页!$B$16)/C176,2)),"")</f>
        <v/>
      </c>
    </row>
    <row r="177" ht="20.25" customHeight="1" spans="8:10">
      <c r="H177" s="5" t="str">
        <f t="shared" si="2"/>
        <v/>
      </c>
      <c r="J177" s="5" t="str">
        <f>IFERROR(IF(I177="ND","ND",baoliuxiaoshuwei(((I177-基础页!$B$26)*基础页!$B$16)/C177,2)),"")</f>
        <v/>
      </c>
    </row>
    <row r="178" ht="20.25" customHeight="1" spans="8:10">
      <c r="H178" s="5" t="str">
        <f t="shared" si="2"/>
        <v/>
      </c>
      <c r="J178" s="5" t="str">
        <f>IFERROR(IF(I178="ND","ND",baoliuxiaoshuwei(((I178-基础页!$B$26)*基础页!$B$16)/C178,2)),"")</f>
        <v/>
      </c>
    </row>
    <row r="179" ht="20.25" customHeight="1" spans="8:10">
      <c r="H179" s="5" t="str">
        <f t="shared" si="2"/>
        <v/>
      </c>
      <c r="J179" s="5" t="str">
        <f>IFERROR(IF(I179="ND","ND",baoliuxiaoshuwei(((I179-基础页!$B$26)*基础页!$B$16)/C179,2)),"")</f>
        <v/>
      </c>
    </row>
    <row r="180" ht="20.25" customHeight="1" spans="8:10">
      <c r="H180" s="5" t="str">
        <f t="shared" si="2"/>
        <v/>
      </c>
      <c r="J180" s="5" t="str">
        <f>IFERROR(IF(I180="ND","ND",baoliuxiaoshuwei(((I180-基础页!$B$26)*基础页!$B$16)/C180,2)),"")</f>
        <v/>
      </c>
    </row>
    <row r="181" ht="20.25" customHeight="1" spans="8:10">
      <c r="H181" s="5" t="str">
        <f t="shared" si="2"/>
        <v/>
      </c>
      <c r="J181" s="5" t="str">
        <f>IFERROR(IF(I181="ND","ND",baoliuxiaoshuwei(((I181-基础页!$B$26)*基础页!$B$16)/C181,2)),"")</f>
        <v/>
      </c>
    </row>
    <row r="182" ht="20.25" customHeight="1" spans="8:10">
      <c r="H182" s="5" t="str">
        <f t="shared" si="2"/>
        <v/>
      </c>
      <c r="J182" s="5" t="str">
        <f>IFERROR(IF(I182="ND","ND",baoliuxiaoshuwei(((I182-基础页!$B$26)*基础页!$B$16)/C182,2)),"")</f>
        <v/>
      </c>
    </row>
    <row r="183" ht="20.25" customHeight="1" spans="8:10">
      <c r="H183" s="5" t="str">
        <f t="shared" si="2"/>
        <v/>
      </c>
      <c r="J183" s="5" t="str">
        <f>IFERROR(IF(I183="ND","ND",baoliuxiaoshuwei(((I183-基础页!$B$26)*基础页!$B$16)/C183,2)),"")</f>
        <v/>
      </c>
    </row>
    <row r="184" ht="20.25" customHeight="1" spans="8:10">
      <c r="H184" s="5" t="str">
        <f t="shared" si="2"/>
        <v/>
      </c>
      <c r="J184" s="5" t="str">
        <f>IFERROR(IF(I184="ND","ND",baoliuxiaoshuwei(((I184-基础页!$B$26)*基础页!$B$16)/C184,2)),"")</f>
        <v/>
      </c>
    </row>
    <row r="185" ht="20.25" customHeight="1" spans="8:10">
      <c r="H185" s="5" t="str">
        <f t="shared" si="2"/>
        <v/>
      </c>
      <c r="J185" s="5" t="str">
        <f>IFERROR(IF(I185="ND","ND",baoliuxiaoshuwei(((I185-基础页!$B$26)*基础页!$B$16)/C185,2)),"")</f>
        <v/>
      </c>
    </row>
    <row r="186" ht="20.25" customHeight="1" spans="8:10">
      <c r="H186" s="5" t="str">
        <f t="shared" si="2"/>
        <v/>
      </c>
      <c r="J186" s="5" t="str">
        <f>IFERROR(IF(I186="ND","ND",baoliuxiaoshuwei(((I186-基础页!$B$26)*基础页!$B$16)/C186,2)),"")</f>
        <v/>
      </c>
    </row>
    <row r="187" ht="20.25" customHeight="1" spans="8:10">
      <c r="H187" s="5" t="str">
        <f t="shared" si="2"/>
        <v/>
      </c>
      <c r="J187" s="5" t="str">
        <f>IFERROR(IF(I187="ND","ND",baoliuxiaoshuwei(((I187-基础页!$B$26)*基础页!$B$16)/C187,2)),"")</f>
        <v/>
      </c>
    </row>
    <row r="188" ht="20.25" customHeight="1" spans="8:10">
      <c r="H188" s="5" t="str">
        <f t="shared" si="2"/>
        <v/>
      </c>
      <c r="J188" s="5" t="str">
        <f>IFERROR(IF(I188="ND","ND",baoliuxiaoshuwei(((I188-基础页!$B$26)*基础页!$B$16)/C188,2)),"")</f>
        <v/>
      </c>
    </row>
    <row r="189" ht="20.25" customHeight="1" spans="8:10">
      <c r="H189" s="5" t="str">
        <f t="shared" si="2"/>
        <v/>
      </c>
      <c r="J189" s="5" t="str">
        <f>IFERROR(IF(I189="ND","ND",baoliuxiaoshuwei(((I189-基础页!$B$26)*基础页!$B$16)/C189,2)),"")</f>
        <v/>
      </c>
    </row>
    <row r="190" ht="20.25" customHeight="1" spans="8:10">
      <c r="H190" s="5" t="str">
        <f t="shared" si="2"/>
        <v/>
      </c>
      <c r="J190" s="5" t="str">
        <f>IFERROR(IF(I190="ND","ND",baoliuxiaoshuwei(((I190-基础页!$B$26)*基础页!$B$16)/C190,2)),"")</f>
        <v/>
      </c>
    </row>
    <row r="191" ht="20.25" customHeight="1" spans="8:10">
      <c r="H191" s="5" t="str">
        <f t="shared" si="2"/>
        <v/>
      </c>
      <c r="J191" s="5" t="str">
        <f>IFERROR(IF(I191="ND","ND",baoliuxiaoshuwei(((I191-基础页!$B$26)*基础页!$B$16)/C191,2)),"")</f>
        <v/>
      </c>
    </row>
    <row r="192" ht="20.25" customHeight="1" spans="8:10">
      <c r="H192" s="5" t="str">
        <f t="shared" si="2"/>
        <v/>
      </c>
      <c r="J192" s="5" t="str">
        <f>IFERROR(IF(I192="ND","ND",baoliuxiaoshuwei(((I192-基础页!$B$26)*基础页!$B$16)/C192,2)),"")</f>
        <v/>
      </c>
    </row>
    <row r="193" ht="20.25" customHeight="1" spans="8:10">
      <c r="H193" s="5" t="str">
        <f t="shared" si="2"/>
        <v/>
      </c>
      <c r="J193" s="5" t="str">
        <f>IFERROR(IF(I193="ND","ND",baoliuxiaoshuwei(((I193-基础页!$B$26)*基础页!$B$16)/C193,2)),"")</f>
        <v/>
      </c>
    </row>
    <row r="194" ht="20.25" customHeight="1" spans="8:10">
      <c r="H194" s="5" t="str">
        <f t="shared" si="2"/>
        <v/>
      </c>
      <c r="J194" s="5" t="str">
        <f>IFERROR(IF(I194="ND","ND",baoliuxiaoshuwei(((I194-基础页!$B$26)*基础页!$B$16)/C194,2)),"")</f>
        <v/>
      </c>
    </row>
    <row r="195" ht="20.25" customHeight="1" spans="8:10">
      <c r="H195" s="5" t="str">
        <f t="shared" si="2"/>
        <v/>
      </c>
      <c r="J195" s="5" t="str">
        <f>IFERROR(IF(I195="ND","ND",baoliuxiaoshuwei(((I195-基础页!$B$26)*基础页!$B$16)/C195,2)),"")</f>
        <v/>
      </c>
    </row>
    <row r="196" ht="20.25" customHeight="1" spans="8:10">
      <c r="H196" s="5" t="str">
        <f t="shared" si="2"/>
        <v/>
      </c>
      <c r="J196" s="5" t="str">
        <f>IFERROR(IF(I196="ND","ND",baoliuxiaoshuwei(((I196-基础页!$B$26)*基础页!$B$16)/C196,2)),"")</f>
        <v/>
      </c>
    </row>
    <row r="197" ht="20.25" customHeight="1" spans="8:10">
      <c r="H197" s="5" t="str">
        <f t="shared" si="2"/>
        <v/>
      </c>
      <c r="J197" s="5" t="str">
        <f>IFERROR(IF(I197="ND","ND",baoliuxiaoshuwei(((I197-基础页!$B$26)*基础页!$B$16)/C197,2)),"")</f>
        <v/>
      </c>
    </row>
    <row r="198" ht="20.25" customHeight="1" spans="8:10">
      <c r="H198" s="5" t="str">
        <f t="shared" ref="H198:H261" si="3">IFERROR(IF(ISBLANK(I198),"",IF(J198="ND","否","是")),"")</f>
        <v/>
      </c>
      <c r="J198" s="5" t="str">
        <f>IFERROR(IF(I198="ND","ND",baoliuxiaoshuwei(((I198-基础页!$B$26)*基础页!$B$16)/C198,2)),"")</f>
        <v/>
      </c>
    </row>
    <row r="199" ht="20.25" customHeight="1" spans="8:10">
      <c r="H199" s="5" t="str">
        <f t="shared" si="3"/>
        <v/>
      </c>
      <c r="J199" s="5" t="str">
        <f>IFERROR(IF(I199="ND","ND",baoliuxiaoshuwei(((I199-基础页!$B$26)*基础页!$B$16)/C199,2)),"")</f>
        <v/>
      </c>
    </row>
    <row r="200" ht="20.25" customHeight="1" spans="8:10">
      <c r="H200" s="5" t="str">
        <f t="shared" si="3"/>
        <v/>
      </c>
      <c r="J200" s="5" t="str">
        <f>IFERROR(IF(I200="ND","ND",baoliuxiaoshuwei(((I200-基础页!$B$26)*基础页!$B$16)/C200,2)),"")</f>
        <v/>
      </c>
    </row>
    <row r="201" ht="20.25" customHeight="1" spans="8:10">
      <c r="H201" s="5" t="str">
        <f t="shared" si="3"/>
        <v/>
      </c>
      <c r="J201" s="5" t="str">
        <f>IFERROR(IF(I201="ND","ND",baoliuxiaoshuwei(((I201-基础页!$B$26)*基础页!$B$16)/C201,2)),"")</f>
        <v/>
      </c>
    </row>
    <row r="202" ht="20.25" customHeight="1" spans="8:10">
      <c r="H202" s="5" t="str">
        <f t="shared" si="3"/>
        <v/>
      </c>
      <c r="J202" s="5" t="str">
        <f>IFERROR(IF(I202="ND","ND",baoliuxiaoshuwei(((I202-基础页!$B$26)*基础页!$B$16)/C202,2)),"")</f>
        <v/>
      </c>
    </row>
    <row r="203" ht="20.25" customHeight="1" spans="8:10">
      <c r="H203" s="5" t="str">
        <f t="shared" si="3"/>
        <v/>
      </c>
      <c r="J203" s="5" t="str">
        <f>IFERROR(IF(I203="ND","ND",baoliuxiaoshuwei(((I203-基础页!$B$26)*基础页!$B$16)/C203,2)),"")</f>
        <v/>
      </c>
    </row>
    <row r="204" ht="20.25" customHeight="1" spans="8:10">
      <c r="H204" s="5" t="str">
        <f t="shared" si="3"/>
        <v/>
      </c>
      <c r="J204" s="5" t="str">
        <f>IFERROR(IF(I204="ND","ND",baoliuxiaoshuwei(((I204-基础页!$B$26)*基础页!$B$16)/C204,2)),"")</f>
        <v/>
      </c>
    </row>
    <row r="205" ht="20.25" customHeight="1" spans="8:10">
      <c r="H205" s="5" t="str">
        <f t="shared" si="3"/>
        <v/>
      </c>
      <c r="J205" s="5" t="str">
        <f>IFERROR(IF(I205="ND","ND",baoliuxiaoshuwei(((I205-基础页!$B$26)*基础页!$B$16)/C205,2)),"")</f>
        <v/>
      </c>
    </row>
    <row r="206" ht="20.25" customHeight="1" spans="8:10">
      <c r="H206" s="5" t="str">
        <f t="shared" si="3"/>
        <v/>
      </c>
      <c r="J206" s="5" t="str">
        <f>IFERROR(IF(I206="ND","ND",baoliuxiaoshuwei(((I206-基础页!$B$26)*基础页!$B$16)/C206,2)),"")</f>
        <v/>
      </c>
    </row>
    <row r="207" ht="20.25" customHeight="1" spans="8:10">
      <c r="H207" s="5" t="str">
        <f t="shared" si="3"/>
        <v/>
      </c>
      <c r="J207" s="5" t="str">
        <f>IFERROR(IF(I207="ND","ND",baoliuxiaoshuwei(((I207-基础页!$B$26)*基础页!$B$16)/C207,2)),"")</f>
        <v/>
      </c>
    </row>
    <row r="208" ht="20.25" customHeight="1" spans="8:10">
      <c r="H208" s="5" t="str">
        <f t="shared" si="3"/>
        <v/>
      </c>
      <c r="J208" s="5" t="str">
        <f>IFERROR(IF(I208="ND","ND",baoliuxiaoshuwei(((I208-基础页!$B$26)*基础页!$B$16)/C208,2)),"")</f>
        <v/>
      </c>
    </row>
    <row r="209" ht="20.25" customHeight="1" spans="8:10">
      <c r="H209" s="5" t="str">
        <f t="shared" si="3"/>
        <v/>
      </c>
      <c r="J209" s="5" t="str">
        <f>IFERROR(IF(I209="ND","ND",baoliuxiaoshuwei(((I209-基础页!$B$26)*基础页!$B$16)/C209,2)),"")</f>
        <v/>
      </c>
    </row>
    <row r="210" ht="20.25" customHeight="1" spans="8:10">
      <c r="H210" s="5" t="str">
        <f t="shared" si="3"/>
        <v/>
      </c>
      <c r="J210" s="5" t="str">
        <f>IFERROR(IF(I210="ND","ND",baoliuxiaoshuwei(((I210-基础页!$B$26)*基础页!$B$16)/C210,2)),"")</f>
        <v/>
      </c>
    </row>
    <row r="211" ht="20.25" customHeight="1" spans="8:10">
      <c r="H211" s="5" t="str">
        <f t="shared" si="3"/>
        <v/>
      </c>
      <c r="J211" s="5" t="str">
        <f>IFERROR(IF(I211="ND","ND",baoliuxiaoshuwei(((I211-基础页!$B$26)*基础页!$B$16)/C211,2)),"")</f>
        <v/>
      </c>
    </row>
    <row r="212" ht="20.25" customHeight="1" spans="8:10">
      <c r="H212" s="5" t="str">
        <f t="shared" si="3"/>
        <v/>
      </c>
      <c r="J212" s="5" t="str">
        <f>IFERROR(IF(I212="ND","ND",baoliuxiaoshuwei(((I212-基础页!$B$26)*基础页!$B$16)/C212,2)),"")</f>
        <v/>
      </c>
    </row>
    <row r="213" ht="20.25" customHeight="1" spans="8:10">
      <c r="H213" s="5" t="str">
        <f t="shared" si="3"/>
        <v/>
      </c>
      <c r="J213" s="5" t="str">
        <f>IFERROR(IF(I213="ND","ND",baoliuxiaoshuwei(((I213-基础页!$B$26)*基础页!$B$16)/C213,2)),"")</f>
        <v/>
      </c>
    </row>
    <row r="214" ht="20.25" customHeight="1" spans="8:10">
      <c r="H214" s="5" t="str">
        <f t="shared" si="3"/>
        <v/>
      </c>
      <c r="J214" s="5" t="str">
        <f>IFERROR(IF(I214="ND","ND",baoliuxiaoshuwei(((I214-基础页!$B$26)*基础页!$B$16)/C214,2)),"")</f>
        <v/>
      </c>
    </row>
    <row r="215" ht="20.25" customHeight="1" spans="8:10">
      <c r="H215" s="5" t="str">
        <f t="shared" si="3"/>
        <v/>
      </c>
      <c r="J215" s="5" t="str">
        <f>IFERROR(IF(I215="ND","ND",baoliuxiaoshuwei(((I215-基础页!$B$26)*基础页!$B$16)/C215,2)),"")</f>
        <v/>
      </c>
    </row>
    <row r="216" ht="20.25" customHeight="1" spans="8:10">
      <c r="H216" s="5" t="str">
        <f t="shared" si="3"/>
        <v/>
      </c>
      <c r="J216" s="5" t="str">
        <f>IFERROR(IF(I216="ND","ND",baoliuxiaoshuwei(((I216-基础页!$B$26)*基础页!$B$16)/C216,2)),"")</f>
        <v/>
      </c>
    </row>
    <row r="217" ht="20.25" customHeight="1" spans="8:10">
      <c r="H217" s="5" t="str">
        <f t="shared" si="3"/>
        <v/>
      </c>
      <c r="J217" s="5" t="str">
        <f>IFERROR(IF(I217="ND","ND",baoliuxiaoshuwei(((I217-基础页!$B$26)*基础页!$B$16)/C217,2)),"")</f>
        <v/>
      </c>
    </row>
    <row r="218" ht="20.25" customHeight="1" spans="8:10">
      <c r="H218" s="5" t="str">
        <f t="shared" si="3"/>
        <v/>
      </c>
      <c r="J218" s="5" t="str">
        <f>IFERROR(IF(I218="ND","ND",baoliuxiaoshuwei(((I218-基础页!$B$26)*基础页!$B$16)/C218,2)),"")</f>
        <v/>
      </c>
    </row>
    <row r="219" ht="20.25" customHeight="1" spans="8:10">
      <c r="H219" s="5" t="str">
        <f t="shared" si="3"/>
        <v/>
      </c>
      <c r="J219" s="5" t="str">
        <f>IFERROR(IF(I219="ND","ND",baoliuxiaoshuwei(((I219-基础页!$B$26)*基础页!$B$16)/C219,2)),"")</f>
        <v/>
      </c>
    </row>
    <row r="220" ht="20.25" customHeight="1" spans="8:10">
      <c r="H220" s="5" t="str">
        <f t="shared" si="3"/>
        <v/>
      </c>
      <c r="J220" s="5" t="str">
        <f>IFERROR(IF(I220="ND","ND",baoliuxiaoshuwei(((I220-基础页!$B$26)*基础页!$B$16)/C220,2)),"")</f>
        <v/>
      </c>
    </row>
    <row r="221" ht="20.25" customHeight="1" spans="8:10">
      <c r="H221" s="5" t="str">
        <f t="shared" si="3"/>
        <v/>
      </c>
      <c r="J221" s="5" t="str">
        <f>IFERROR(IF(I221="ND","ND",baoliuxiaoshuwei(((I221-基础页!$B$26)*基础页!$B$16)/C221,2)),"")</f>
        <v/>
      </c>
    </row>
    <row r="222" ht="20.25" customHeight="1" spans="8:10">
      <c r="H222" s="5" t="str">
        <f t="shared" si="3"/>
        <v/>
      </c>
      <c r="J222" s="5" t="str">
        <f>IFERROR(IF(I222="ND","ND",baoliuxiaoshuwei(((I222-基础页!$B$26)*基础页!$B$16)/C222,2)),"")</f>
        <v/>
      </c>
    </row>
    <row r="223" ht="20.25" customHeight="1" spans="8:10">
      <c r="H223" s="5" t="str">
        <f t="shared" si="3"/>
        <v/>
      </c>
      <c r="J223" s="5" t="str">
        <f>IFERROR(IF(I223="ND","ND",baoliuxiaoshuwei(((I223-基础页!$B$26)*基础页!$B$16)/C223,2)),"")</f>
        <v/>
      </c>
    </row>
    <row r="224" ht="20.25" customHeight="1" spans="8:10">
      <c r="H224" s="5" t="str">
        <f t="shared" si="3"/>
        <v/>
      </c>
      <c r="J224" s="5" t="str">
        <f>IFERROR(IF(I224="ND","ND",baoliuxiaoshuwei(((I224-基础页!$B$26)*基础页!$B$16)/C224,2)),"")</f>
        <v/>
      </c>
    </row>
    <row r="225" ht="20.25" customHeight="1" spans="8:10">
      <c r="H225" s="5" t="str">
        <f t="shared" si="3"/>
        <v/>
      </c>
      <c r="J225" s="5" t="str">
        <f>IFERROR(IF(I225="ND","ND",baoliuxiaoshuwei(((I225-基础页!$B$26)*基础页!$B$16)/C225,2)),"")</f>
        <v/>
      </c>
    </row>
    <row r="226" ht="20.25" customHeight="1" spans="8:10">
      <c r="H226" s="5" t="str">
        <f t="shared" si="3"/>
        <v/>
      </c>
      <c r="J226" s="5" t="str">
        <f>IFERROR(IF(I226="ND","ND",baoliuxiaoshuwei(((I226-基础页!$B$26)*基础页!$B$16)/C226,2)),"")</f>
        <v/>
      </c>
    </row>
    <row r="227" ht="20.25" customHeight="1" spans="8:10">
      <c r="H227" s="5" t="str">
        <f t="shared" si="3"/>
        <v/>
      </c>
      <c r="J227" s="5" t="str">
        <f>IFERROR(IF(I227="ND","ND",baoliuxiaoshuwei(((I227-基础页!$B$26)*基础页!$B$16)/C227,2)),"")</f>
        <v/>
      </c>
    </row>
    <row r="228" ht="20.25" customHeight="1" spans="8:10">
      <c r="H228" s="5" t="str">
        <f t="shared" si="3"/>
        <v/>
      </c>
      <c r="J228" s="5" t="str">
        <f>IFERROR(IF(I228="ND","ND",baoliuxiaoshuwei(((I228-基础页!$B$26)*基础页!$B$16)/C228,2)),"")</f>
        <v/>
      </c>
    </row>
    <row r="229" ht="20.25" customHeight="1" spans="8:10">
      <c r="H229" s="5" t="str">
        <f t="shared" si="3"/>
        <v/>
      </c>
      <c r="J229" s="5" t="str">
        <f>IFERROR(IF(I229="ND","ND",baoliuxiaoshuwei(((I229-基础页!$B$26)*基础页!$B$16)/C229,2)),"")</f>
        <v/>
      </c>
    </row>
    <row r="230" ht="20.25" customHeight="1" spans="8:10">
      <c r="H230" s="5" t="str">
        <f t="shared" si="3"/>
        <v/>
      </c>
      <c r="J230" s="5" t="str">
        <f>IFERROR(IF(I230="ND","ND",baoliuxiaoshuwei(((I230-基础页!$B$26)*基础页!$B$16)/C230,2)),"")</f>
        <v/>
      </c>
    </row>
    <row r="231" ht="20.25" customHeight="1" spans="8:10">
      <c r="H231" s="5" t="str">
        <f t="shared" si="3"/>
        <v/>
      </c>
      <c r="J231" s="5" t="str">
        <f>IFERROR(IF(I231="ND","ND",baoliuxiaoshuwei(((I231-基础页!$B$26)*基础页!$B$16)/C231,2)),"")</f>
        <v/>
      </c>
    </row>
    <row r="232" ht="20.25" customHeight="1" spans="8:10">
      <c r="H232" s="5" t="str">
        <f t="shared" si="3"/>
        <v/>
      </c>
      <c r="J232" s="5" t="str">
        <f>IFERROR(IF(I232="ND","ND",baoliuxiaoshuwei(((I232-基础页!$B$26)*基础页!$B$16)/C232,2)),"")</f>
        <v/>
      </c>
    </row>
    <row r="233" ht="20.25" customHeight="1" spans="8:10">
      <c r="H233" s="5" t="str">
        <f t="shared" si="3"/>
        <v/>
      </c>
      <c r="J233" s="5" t="str">
        <f>IFERROR(IF(I233="ND","ND",baoliuxiaoshuwei(((I233-基础页!$B$26)*基础页!$B$16)/C233,2)),"")</f>
        <v/>
      </c>
    </row>
    <row r="234" ht="20.25" customHeight="1" spans="8:10">
      <c r="H234" s="5" t="str">
        <f t="shared" si="3"/>
        <v/>
      </c>
      <c r="J234" s="5" t="str">
        <f>IFERROR(IF(I234="ND","ND",baoliuxiaoshuwei(((I234-基础页!$B$26)*基础页!$B$16)/C234,2)),"")</f>
        <v/>
      </c>
    </row>
    <row r="235" ht="20.25" customHeight="1" spans="8:10">
      <c r="H235" s="5" t="str">
        <f t="shared" si="3"/>
        <v/>
      </c>
      <c r="J235" s="5" t="str">
        <f>IFERROR(IF(I235="ND","ND",baoliuxiaoshuwei(((I235-基础页!$B$26)*基础页!$B$16)/C235,2)),"")</f>
        <v/>
      </c>
    </row>
    <row r="236" ht="20.25" customHeight="1" spans="8:10">
      <c r="H236" s="5" t="str">
        <f t="shared" si="3"/>
        <v/>
      </c>
      <c r="J236" s="5" t="str">
        <f>IFERROR(IF(I236="ND","ND",baoliuxiaoshuwei(((I236-基础页!$B$26)*基础页!$B$16)/C236,2)),"")</f>
        <v/>
      </c>
    </row>
    <row r="237" ht="20.25" customHeight="1" spans="8:10">
      <c r="H237" s="5" t="str">
        <f t="shared" si="3"/>
        <v/>
      </c>
      <c r="J237" s="5" t="str">
        <f>IFERROR(IF(I237="ND","ND",baoliuxiaoshuwei(((I237-基础页!$B$26)*基础页!$B$16)/C237,2)),"")</f>
        <v/>
      </c>
    </row>
    <row r="238" ht="20.25" customHeight="1" spans="8:10">
      <c r="H238" s="5" t="str">
        <f t="shared" si="3"/>
        <v/>
      </c>
      <c r="J238" s="5" t="str">
        <f>IFERROR(IF(I238="ND","ND",baoliuxiaoshuwei(((I238-基础页!$B$26)*基础页!$B$16)/C238,2)),"")</f>
        <v/>
      </c>
    </row>
    <row r="239" ht="20.25" customHeight="1" spans="8:10">
      <c r="H239" s="5" t="str">
        <f t="shared" si="3"/>
        <v/>
      </c>
      <c r="J239" s="5" t="str">
        <f>IFERROR(IF(I239="ND","ND",baoliuxiaoshuwei(((I239-基础页!$B$26)*基础页!$B$16)/C239,2)),"")</f>
        <v/>
      </c>
    </row>
    <row r="240" ht="20.25" customHeight="1" spans="8:10">
      <c r="H240" s="5" t="str">
        <f t="shared" si="3"/>
        <v/>
      </c>
      <c r="J240" s="5" t="str">
        <f>IFERROR(IF(I240="ND","ND",baoliuxiaoshuwei(((I240-基础页!$B$26)*基础页!$B$16)/C240,2)),"")</f>
        <v/>
      </c>
    </row>
    <row r="241" ht="20.25" customHeight="1" spans="8:10">
      <c r="H241" s="5" t="str">
        <f t="shared" si="3"/>
        <v/>
      </c>
      <c r="J241" s="5" t="str">
        <f>IFERROR(IF(I241="ND","ND",baoliuxiaoshuwei(((I241-基础页!$B$26)*基础页!$B$16)/C241,2)),"")</f>
        <v/>
      </c>
    </row>
    <row r="242" ht="20.25" customHeight="1" spans="8:10">
      <c r="H242" s="5" t="str">
        <f t="shared" si="3"/>
        <v/>
      </c>
      <c r="J242" s="5" t="str">
        <f>IFERROR(IF(I242="ND","ND",baoliuxiaoshuwei(((I242-基础页!$B$26)*基础页!$B$16)/C242,2)),"")</f>
        <v/>
      </c>
    </row>
    <row r="243" ht="20.25" customHeight="1" spans="8:10">
      <c r="H243" s="5" t="str">
        <f t="shared" si="3"/>
        <v/>
      </c>
      <c r="J243" s="5" t="str">
        <f>IFERROR(IF(I243="ND","ND",baoliuxiaoshuwei(((I243-基础页!$B$26)*基础页!$B$16)/C243,2)),"")</f>
        <v/>
      </c>
    </row>
    <row r="244" ht="20.25" customHeight="1" spans="8:10">
      <c r="H244" s="5" t="str">
        <f t="shared" si="3"/>
        <v/>
      </c>
      <c r="J244" s="5" t="str">
        <f>IFERROR(IF(I244="ND","ND",baoliuxiaoshuwei(((I244-基础页!$B$26)*基础页!$B$16)/C244,2)),"")</f>
        <v/>
      </c>
    </row>
    <row r="245" ht="20.25" customHeight="1" spans="8:10">
      <c r="H245" s="5" t="str">
        <f t="shared" si="3"/>
        <v/>
      </c>
      <c r="J245" s="5" t="str">
        <f>IFERROR(IF(I245="ND","ND",baoliuxiaoshuwei(((I245-基础页!$B$26)*基础页!$B$16)/C245,2)),"")</f>
        <v/>
      </c>
    </row>
    <row r="246" ht="20.25" customHeight="1" spans="8:10">
      <c r="H246" s="5" t="str">
        <f t="shared" si="3"/>
        <v/>
      </c>
      <c r="J246" s="5" t="str">
        <f>IFERROR(IF(I246="ND","ND",baoliuxiaoshuwei(((I246-基础页!$B$26)*基础页!$B$16)/C246,2)),"")</f>
        <v/>
      </c>
    </row>
    <row r="247" ht="20.25" customHeight="1" spans="8:10">
      <c r="H247" s="5" t="str">
        <f t="shared" si="3"/>
        <v/>
      </c>
      <c r="J247" s="5" t="str">
        <f>IFERROR(IF(I247="ND","ND",baoliuxiaoshuwei(((I247-基础页!$B$26)*基础页!$B$16)/C247,2)),"")</f>
        <v/>
      </c>
    </row>
    <row r="248" ht="20.25" customHeight="1" spans="8:10">
      <c r="H248" s="5" t="str">
        <f t="shared" si="3"/>
        <v/>
      </c>
      <c r="J248" s="5" t="str">
        <f>IFERROR(IF(I248="ND","ND",baoliuxiaoshuwei(((I248-基础页!$B$26)*基础页!$B$16)/C248,2)),"")</f>
        <v/>
      </c>
    </row>
    <row r="249" ht="20.25" customHeight="1" spans="8:10">
      <c r="H249" s="5" t="str">
        <f t="shared" si="3"/>
        <v/>
      </c>
      <c r="J249" s="5" t="str">
        <f>IFERROR(IF(I249="ND","ND",baoliuxiaoshuwei(((I249-基础页!$B$26)*基础页!$B$16)/C249,2)),"")</f>
        <v/>
      </c>
    </row>
    <row r="250" ht="20.25" customHeight="1" spans="8:10">
      <c r="H250" s="5" t="str">
        <f t="shared" si="3"/>
        <v/>
      </c>
      <c r="J250" s="5" t="str">
        <f>IFERROR(IF(I250="ND","ND",baoliuxiaoshuwei(((I250-基础页!$B$26)*基础页!$B$16)/C250,2)),"")</f>
        <v/>
      </c>
    </row>
    <row r="251" ht="20.25" customHeight="1" spans="8:10">
      <c r="H251" s="5" t="str">
        <f t="shared" si="3"/>
        <v/>
      </c>
      <c r="J251" s="5" t="str">
        <f>IFERROR(IF(I251="ND","ND",baoliuxiaoshuwei(((I251-基础页!$B$26)*基础页!$B$16)/C251,2)),"")</f>
        <v/>
      </c>
    </row>
    <row r="252" ht="20.25" customHeight="1" spans="8:10">
      <c r="H252" s="5" t="str">
        <f t="shared" si="3"/>
        <v/>
      </c>
      <c r="J252" s="5" t="str">
        <f>IFERROR(IF(I252="ND","ND",baoliuxiaoshuwei(((I252-基础页!$B$26)*基础页!$B$16)/C252,2)),"")</f>
        <v/>
      </c>
    </row>
    <row r="253" ht="20.25" customHeight="1" spans="8:10">
      <c r="H253" s="5" t="str">
        <f t="shared" si="3"/>
        <v/>
      </c>
      <c r="J253" s="5" t="str">
        <f>IFERROR(IF(I253="ND","ND",baoliuxiaoshuwei(((I253-基础页!$B$26)*基础页!$B$16)/C253,2)),"")</f>
        <v/>
      </c>
    </row>
    <row r="254" ht="20.25" customHeight="1" spans="8:10">
      <c r="H254" s="5" t="str">
        <f t="shared" si="3"/>
        <v/>
      </c>
      <c r="J254" s="5" t="str">
        <f>IFERROR(IF(I254="ND","ND",baoliuxiaoshuwei(((I254-基础页!$B$26)*基础页!$B$16)/C254,2)),"")</f>
        <v/>
      </c>
    </row>
    <row r="255" ht="20.25" customHeight="1" spans="8:10">
      <c r="H255" s="5" t="str">
        <f t="shared" si="3"/>
        <v/>
      </c>
      <c r="J255" s="5" t="str">
        <f>IFERROR(IF(I255="ND","ND",baoliuxiaoshuwei(((I255-基础页!$B$26)*基础页!$B$16)/C255,2)),"")</f>
        <v/>
      </c>
    </row>
    <row r="256" ht="20.25" customHeight="1" spans="8:10">
      <c r="H256" s="5" t="str">
        <f t="shared" si="3"/>
        <v/>
      </c>
      <c r="J256" s="5" t="str">
        <f>IFERROR(IF(I256="ND","ND",baoliuxiaoshuwei(((I256-基础页!$B$26)*基础页!$B$16)/C256,2)),"")</f>
        <v/>
      </c>
    </row>
    <row r="257" ht="20.25" customHeight="1" spans="8:10">
      <c r="H257" s="5" t="str">
        <f t="shared" si="3"/>
        <v/>
      </c>
      <c r="J257" s="5" t="str">
        <f>IFERROR(IF(I257="ND","ND",baoliuxiaoshuwei(((I257-基础页!$B$26)*基础页!$B$16)/C257,2)),"")</f>
        <v/>
      </c>
    </row>
    <row r="258" ht="20.25" customHeight="1" spans="8:10">
      <c r="H258" s="5" t="str">
        <f t="shared" si="3"/>
        <v/>
      </c>
      <c r="J258" s="5" t="str">
        <f>IFERROR(IF(I258="ND","ND",baoliuxiaoshuwei(((I258-基础页!$B$26)*基础页!$B$16)/C258,2)),"")</f>
        <v/>
      </c>
    </row>
    <row r="259" ht="20.25" customHeight="1" spans="8:10">
      <c r="H259" s="5" t="str">
        <f t="shared" si="3"/>
        <v/>
      </c>
      <c r="J259" s="5" t="str">
        <f>IFERROR(IF(I259="ND","ND",baoliuxiaoshuwei(((I259-基础页!$B$26)*基础页!$B$16)/C259,2)),"")</f>
        <v/>
      </c>
    </row>
    <row r="260" ht="20.25" customHeight="1" spans="8:10">
      <c r="H260" s="5" t="str">
        <f t="shared" si="3"/>
        <v/>
      </c>
      <c r="J260" s="5" t="str">
        <f>IFERROR(IF(I260="ND","ND",baoliuxiaoshuwei(((I260-基础页!$B$26)*基础页!$B$16)/C260,2)),"")</f>
        <v/>
      </c>
    </row>
    <row r="261" ht="20.25" customHeight="1" spans="8:10">
      <c r="H261" s="5" t="str">
        <f t="shared" si="3"/>
        <v/>
      </c>
      <c r="J261" s="5" t="str">
        <f>IFERROR(IF(I261="ND","ND",baoliuxiaoshuwei(((I261-基础页!$B$26)*基础页!$B$16)/C261,2)),"")</f>
        <v/>
      </c>
    </row>
    <row r="262" ht="20.25" customHeight="1" spans="8:10">
      <c r="H262" s="5" t="str">
        <f t="shared" ref="H262:H325" si="4">IFERROR(IF(ISBLANK(I262),"",IF(J262="ND","否","是")),"")</f>
        <v/>
      </c>
      <c r="J262" s="5" t="str">
        <f>IFERROR(IF(I262="ND","ND",baoliuxiaoshuwei(((I262-基础页!$B$26)*基础页!$B$16)/C262,2)),"")</f>
        <v/>
      </c>
    </row>
    <row r="263" ht="20.25" customHeight="1" spans="8:10">
      <c r="H263" s="5" t="str">
        <f t="shared" si="4"/>
        <v/>
      </c>
      <c r="J263" s="5" t="str">
        <f>IFERROR(IF(I263="ND","ND",baoliuxiaoshuwei(((I263-基础页!$B$26)*基础页!$B$16)/C263,2)),"")</f>
        <v/>
      </c>
    </row>
    <row r="264" ht="20.25" customHeight="1" spans="8:10">
      <c r="H264" s="5" t="str">
        <f t="shared" si="4"/>
        <v/>
      </c>
      <c r="J264" s="5" t="str">
        <f>IFERROR(IF(I264="ND","ND",baoliuxiaoshuwei(((I264-基础页!$B$26)*基础页!$B$16)/C264,2)),"")</f>
        <v/>
      </c>
    </row>
    <row r="265" ht="20.25" customHeight="1" spans="8:10">
      <c r="H265" s="5" t="str">
        <f t="shared" si="4"/>
        <v/>
      </c>
      <c r="J265" s="5" t="str">
        <f>IFERROR(IF(I265="ND","ND",baoliuxiaoshuwei(((I265-基础页!$B$26)*基础页!$B$16)/C265,2)),"")</f>
        <v/>
      </c>
    </row>
    <row r="266" ht="20.25" customHeight="1" spans="8:10">
      <c r="H266" s="5" t="str">
        <f t="shared" si="4"/>
        <v/>
      </c>
      <c r="J266" s="5" t="str">
        <f>IFERROR(IF(I266="ND","ND",baoliuxiaoshuwei(((I266-基础页!$B$26)*基础页!$B$16)/C266,2)),"")</f>
        <v/>
      </c>
    </row>
    <row r="267" ht="20.25" customHeight="1" spans="8:10">
      <c r="H267" s="5" t="str">
        <f t="shared" si="4"/>
        <v/>
      </c>
      <c r="J267" s="5" t="str">
        <f>IFERROR(IF(I267="ND","ND",baoliuxiaoshuwei(((I267-基础页!$B$26)*基础页!$B$16)/C267,2)),"")</f>
        <v/>
      </c>
    </row>
    <row r="268" ht="20.25" customHeight="1" spans="8:10">
      <c r="H268" s="5" t="str">
        <f t="shared" si="4"/>
        <v/>
      </c>
      <c r="J268" s="5" t="str">
        <f>IFERROR(IF(I268="ND","ND",baoliuxiaoshuwei(((I268-基础页!$B$26)*基础页!$B$16)/C268,2)),"")</f>
        <v/>
      </c>
    </row>
    <row r="269" ht="20.25" customHeight="1" spans="8:10">
      <c r="H269" s="5" t="str">
        <f t="shared" si="4"/>
        <v/>
      </c>
      <c r="J269" s="5" t="str">
        <f>IFERROR(IF(I269="ND","ND",baoliuxiaoshuwei(((I269-基础页!$B$26)*基础页!$B$16)/C269,2)),"")</f>
        <v/>
      </c>
    </row>
    <row r="270" ht="20.25" customHeight="1" spans="8:10">
      <c r="H270" s="5" t="str">
        <f t="shared" si="4"/>
        <v/>
      </c>
      <c r="J270" s="5" t="str">
        <f>IFERROR(IF(I270="ND","ND",baoliuxiaoshuwei(((I270-基础页!$B$26)*基础页!$B$16)/C270,2)),"")</f>
        <v/>
      </c>
    </row>
    <row r="271" ht="20.25" customHeight="1" spans="8:10">
      <c r="H271" s="5" t="str">
        <f t="shared" si="4"/>
        <v/>
      </c>
      <c r="J271" s="5" t="str">
        <f>IFERROR(IF(I271="ND","ND",baoliuxiaoshuwei(((I271-基础页!$B$26)*基础页!$B$16)/C271,2)),"")</f>
        <v/>
      </c>
    </row>
    <row r="272" ht="20.25" customHeight="1" spans="8:10">
      <c r="H272" s="5" t="str">
        <f t="shared" si="4"/>
        <v/>
      </c>
      <c r="J272" s="5" t="str">
        <f>IFERROR(IF(I272="ND","ND",baoliuxiaoshuwei(((I272-基础页!$B$26)*基础页!$B$16)/C272,2)),"")</f>
        <v/>
      </c>
    </row>
    <row r="273" ht="20.25" customHeight="1" spans="8:10">
      <c r="H273" s="5" t="str">
        <f t="shared" si="4"/>
        <v/>
      </c>
      <c r="J273" s="5" t="str">
        <f>IFERROR(IF(I273="ND","ND",baoliuxiaoshuwei(((I273-基础页!$B$26)*基础页!$B$16)/C273,2)),"")</f>
        <v/>
      </c>
    </row>
    <row r="274" ht="20.25" customHeight="1" spans="8:10">
      <c r="H274" s="5" t="str">
        <f t="shared" si="4"/>
        <v/>
      </c>
      <c r="J274" s="5" t="str">
        <f>IFERROR(IF(I274="ND","ND",baoliuxiaoshuwei(((I274-基础页!$B$26)*基础页!$B$16)/C274,2)),"")</f>
        <v/>
      </c>
    </row>
    <row r="275" ht="20.25" customHeight="1" spans="8:10">
      <c r="H275" s="5" t="str">
        <f t="shared" si="4"/>
        <v/>
      </c>
      <c r="J275" s="5" t="str">
        <f>IFERROR(IF(I275="ND","ND",baoliuxiaoshuwei(((I275-基础页!$B$26)*基础页!$B$16)/C275,2)),"")</f>
        <v/>
      </c>
    </row>
    <row r="276" ht="20.25" customHeight="1" spans="8:10">
      <c r="H276" s="5" t="str">
        <f t="shared" si="4"/>
        <v/>
      </c>
      <c r="J276" s="5" t="str">
        <f>IFERROR(IF(I276="ND","ND",baoliuxiaoshuwei(((I276-基础页!$B$26)*基础页!$B$16)/C276,2)),"")</f>
        <v/>
      </c>
    </row>
    <row r="277" ht="20.25" customHeight="1" spans="8:10">
      <c r="H277" s="5" t="str">
        <f t="shared" si="4"/>
        <v/>
      </c>
      <c r="J277" s="5" t="str">
        <f>IFERROR(IF(I277="ND","ND",baoliuxiaoshuwei(((I277-基础页!$B$26)*基础页!$B$16)/C277,2)),"")</f>
        <v/>
      </c>
    </row>
    <row r="278" ht="20.25" customHeight="1" spans="8:10">
      <c r="H278" s="5" t="str">
        <f t="shared" si="4"/>
        <v/>
      </c>
      <c r="J278" s="5" t="str">
        <f>IFERROR(IF(I278="ND","ND",baoliuxiaoshuwei(((I278-基础页!$B$26)*基础页!$B$16)/C278,2)),"")</f>
        <v/>
      </c>
    </row>
    <row r="279" ht="20.25" customHeight="1" spans="8:10">
      <c r="H279" s="5" t="str">
        <f t="shared" si="4"/>
        <v/>
      </c>
      <c r="J279" s="5" t="str">
        <f>IFERROR(IF(I279="ND","ND",baoliuxiaoshuwei(((I279-基础页!$B$26)*基础页!$B$16)/C279,2)),"")</f>
        <v/>
      </c>
    </row>
    <row r="280" ht="20.25" customHeight="1" spans="8:10">
      <c r="H280" s="5" t="str">
        <f t="shared" si="4"/>
        <v/>
      </c>
      <c r="J280" s="5" t="str">
        <f>IFERROR(IF(I280="ND","ND",baoliuxiaoshuwei(((I280-基础页!$B$26)*基础页!$B$16)/C280,2)),"")</f>
        <v/>
      </c>
    </row>
    <row r="281" ht="20.25" customHeight="1" spans="8:10">
      <c r="H281" s="5" t="str">
        <f t="shared" si="4"/>
        <v/>
      </c>
      <c r="J281" s="5" t="str">
        <f>IFERROR(IF(I281="ND","ND",baoliuxiaoshuwei(((I281-基础页!$B$26)*基础页!$B$16)/C281,2)),"")</f>
        <v/>
      </c>
    </row>
    <row r="282" ht="20.25" customHeight="1" spans="8:10">
      <c r="H282" s="5" t="str">
        <f t="shared" si="4"/>
        <v/>
      </c>
      <c r="J282" s="5" t="str">
        <f>IFERROR(IF(I282="ND","ND",baoliuxiaoshuwei(((I282-基础页!$B$26)*基础页!$B$16)/C282,2)),"")</f>
        <v/>
      </c>
    </row>
    <row r="283" ht="20.25" customHeight="1" spans="8:10">
      <c r="H283" s="5" t="str">
        <f t="shared" si="4"/>
        <v/>
      </c>
      <c r="J283" s="5" t="str">
        <f>IFERROR(IF(I283="ND","ND",baoliuxiaoshuwei(((I283-基础页!$B$26)*基础页!$B$16)/C283,2)),"")</f>
        <v/>
      </c>
    </row>
    <row r="284" ht="20.25" customHeight="1" spans="8:10">
      <c r="H284" s="5" t="str">
        <f t="shared" si="4"/>
        <v/>
      </c>
      <c r="J284" s="5" t="str">
        <f>IFERROR(IF(I284="ND","ND",baoliuxiaoshuwei(((I284-基础页!$B$26)*基础页!$B$16)/C284,2)),"")</f>
        <v/>
      </c>
    </row>
    <row r="285" ht="20.25" customHeight="1" spans="8:10">
      <c r="H285" s="5" t="str">
        <f t="shared" si="4"/>
        <v/>
      </c>
      <c r="J285" s="5" t="str">
        <f>IFERROR(IF(I285="ND","ND",baoliuxiaoshuwei(((I285-基础页!$B$26)*基础页!$B$16)/C285,2)),"")</f>
        <v/>
      </c>
    </row>
    <row r="286" ht="20.25" customHeight="1" spans="8:10">
      <c r="H286" s="5" t="str">
        <f t="shared" si="4"/>
        <v/>
      </c>
      <c r="J286" s="5" t="str">
        <f>IFERROR(IF(I286="ND","ND",baoliuxiaoshuwei(((I286-基础页!$B$26)*基础页!$B$16)/C286,2)),"")</f>
        <v/>
      </c>
    </row>
    <row r="287" ht="20.25" customHeight="1" spans="8:10">
      <c r="H287" s="5" t="str">
        <f t="shared" si="4"/>
        <v/>
      </c>
      <c r="J287" s="5" t="str">
        <f>IFERROR(IF(I287="ND","ND",baoliuxiaoshuwei(((I287-基础页!$B$26)*基础页!$B$16)/C287,2)),"")</f>
        <v/>
      </c>
    </row>
    <row r="288" ht="20.25" customHeight="1" spans="8:10">
      <c r="H288" s="5" t="str">
        <f t="shared" si="4"/>
        <v/>
      </c>
      <c r="J288" s="5" t="str">
        <f>IFERROR(IF(I288="ND","ND",baoliuxiaoshuwei(((I288-基础页!$B$26)*基础页!$B$16)/C288,2)),"")</f>
        <v/>
      </c>
    </row>
    <row r="289" ht="20.25" customHeight="1" spans="8:10">
      <c r="H289" s="5" t="str">
        <f t="shared" si="4"/>
        <v/>
      </c>
      <c r="J289" s="5" t="str">
        <f>IFERROR(IF(I289="ND","ND",baoliuxiaoshuwei(((I289-基础页!$B$26)*基础页!$B$16)/C289,2)),"")</f>
        <v/>
      </c>
    </row>
    <row r="290" ht="20.25" customHeight="1" spans="8:10">
      <c r="H290" s="5" t="str">
        <f t="shared" si="4"/>
        <v/>
      </c>
      <c r="J290" s="5" t="str">
        <f>IFERROR(IF(I290="ND","ND",baoliuxiaoshuwei(((I290-基础页!$B$26)*基础页!$B$16)/C290,2)),"")</f>
        <v/>
      </c>
    </row>
    <row r="291" ht="20.25" customHeight="1" spans="8:10">
      <c r="H291" s="5" t="str">
        <f t="shared" si="4"/>
        <v/>
      </c>
      <c r="J291" s="5" t="str">
        <f>IFERROR(IF(I291="ND","ND",baoliuxiaoshuwei(((I291-基础页!$B$26)*基础页!$B$16)/C291,2)),"")</f>
        <v/>
      </c>
    </row>
    <row r="292" ht="20.25" customHeight="1" spans="8:10">
      <c r="H292" s="5" t="str">
        <f t="shared" si="4"/>
        <v/>
      </c>
      <c r="J292" s="5" t="str">
        <f>IFERROR(IF(I292="ND","ND",baoliuxiaoshuwei(((I292-基础页!$B$26)*基础页!$B$16)/C292,2)),"")</f>
        <v/>
      </c>
    </row>
    <row r="293" ht="20.25" customHeight="1" spans="8:10">
      <c r="H293" s="5" t="str">
        <f t="shared" si="4"/>
        <v/>
      </c>
      <c r="J293" s="5" t="str">
        <f>IFERROR(IF(I293="ND","ND",baoliuxiaoshuwei(((I293-基础页!$B$26)*基础页!$B$16)/C293,2)),"")</f>
        <v/>
      </c>
    </row>
    <row r="294" ht="20.25" customHeight="1" spans="8:10">
      <c r="H294" s="5" t="str">
        <f t="shared" si="4"/>
        <v/>
      </c>
      <c r="J294" s="5" t="str">
        <f>IFERROR(IF(I294="ND","ND",baoliuxiaoshuwei(((I294-基础页!$B$26)*基础页!$B$16)/C294,2)),"")</f>
        <v/>
      </c>
    </row>
    <row r="295" ht="20.25" customHeight="1" spans="8:10">
      <c r="H295" s="5" t="str">
        <f t="shared" si="4"/>
        <v/>
      </c>
      <c r="J295" s="5" t="str">
        <f>IFERROR(IF(I295="ND","ND",baoliuxiaoshuwei(((I295-基础页!$B$26)*基础页!$B$16)/C295,2)),"")</f>
        <v/>
      </c>
    </row>
    <row r="296" ht="20.25" customHeight="1" spans="8:10">
      <c r="H296" s="5" t="str">
        <f t="shared" si="4"/>
        <v/>
      </c>
      <c r="J296" s="5" t="str">
        <f>IFERROR(IF(I296="ND","ND",baoliuxiaoshuwei(((I296-基础页!$B$26)*基础页!$B$16)/C296,2)),"")</f>
        <v/>
      </c>
    </row>
    <row r="297" ht="20.25" customHeight="1" spans="8:10">
      <c r="H297" s="5" t="str">
        <f t="shared" si="4"/>
        <v/>
      </c>
      <c r="J297" s="5" t="str">
        <f>IFERROR(IF(I297="ND","ND",baoliuxiaoshuwei(((I297-基础页!$B$26)*基础页!$B$16)/C297,2)),"")</f>
        <v/>
      </c>
    </row>
    <row r="298" ht="20.25" customHeight="1" spans="8:10">
      <c r="H298" s="5" t="str">
        <f t="shared" si="4"/>
        <v/>
      </c>
      <c r="J298" s="5" t="str">
        <f>IFERROR(IF(I298="ND","ND",baoliuxiaoshuwei(((I298-基础页!$B$26)*基础页!$B$16)/C298,2)),"")</f>
        <v/>
      </c>
    </row>
    <row r="299" ht="20.25" customHeight="1" spans="8:10">
      <c r="H299" s="5" t="str">
        <f t="shared" si="4"/>
        <v/>
      </c>
      <c r="J299" s="5" t="str">
        <f>IFERROR(IF(I299="ND","ND",baoliuxiaoshuwei(((I299-基础页!$B$26)*基础页!$B$16)/C299,2)),"")</f>
        <v/>
      </c>
    </row>
    <row r="300" ht="20.25" customHeight="1" spans="8:10">
      <c r="H300" s="5" t="str">
        <f t="shared" si="4"/>
        <v/>
      </c>
      <c r="J300" s="5" t="str">
        <f>IFERROR(IF(I300="ND","ND",baoliuxiaoshuwei(((I300-基础页!$B$26)*基础页!$B$16)/C300,2)),"")</f>
        <v/>
      </c>
    </row>
    <row r="301" ht="20.25" customHeight="1" spans="8:10">
      <c r="H301" s="5" t="str">
        <f t="shared" si="4"/>
        <v/>
      </c>
      <c r="J301" s="5" t="str">
        <f>IFERROR(IF(I301="ND","ND",baoliuxiaoshuwei(((I301-基础页!$B$26)*基础页!$B$16)/C301,2)),"")</f>
        <v/>
      </c>
    </row>
    <row r="302" ht="20.25" customHeight="1" spans="8:10">
      <c r="H302" s="5" t="str">
        <f t="shared" si="4"/>
        <v/>
      </c>
      <c r="J302" s="5" t="str">
        <f>IFERROR(IF(I302="ND","ND",baoliuxiaoshuwei(((I302-基础页!$B$26)*基础页!$B$16)/C302,2)),"")</f>
        <v/>
      </c>
    </row>
    <row r="303" ht="20.25" customHeight="1" spans="8:10">
      <c r="H303" s="5" t="str">
        <f t="shared" si="4"/>
        <v/>
      </c>
      <c r="J303" s="5" t="str">
        <f>IFERROR(IF(I303="ND","ND",baoliuxiaoshuwei(((I303-基础页!$B$26)*基础页!$B$16)/C303,2)),"")</f>
        <v/>
      </c>
    </row>
    <row r="304" ht="20.25" customHeight="1" spans="8:10">
      <c r="H304" s="5" t="str">
        <f t="shared" si="4"/>
        <v/>
      </c>
      <c r="J304" s="5" t="str">
        <f>IFERROR(IF(I304="ND","ND",baoliuxiaoshuwei(((I304-基础页!$B$26)*基础页!$B$16)/C304,2)),"")</f>
        <v/>
      </c>
    </row>
    <row r="305" ht="20.25" customHeight="1" spans="8:10">
      <c r="H305" s="5" t="str">
        <f t="shared" si="4"/>
        <v/>
      </c>
      <c r="J305" s="5" t="str">
        <f>IFERROR(IF(I305="ND","ND",baoliuxiaoshuwei(((I305-基础页!$B$26)*基础页!$B$16)/C305,2)),"")</f>
        <v/>
      </c>
    </row>
    <row r="306" ht="20.25" customHeight="1" spans="8:10">
      <c r="H306" s="5" t="str">
        <f t="shared" si="4"/>
        <v/>
      </c>
      <c r="J306" s="5" t="str">
        <f>IFERROR(IF(I306="ND","ND",baoliuxiaoshuwei(((I306-基础页!$B$26)*基础页!$B$16)/C306,2)),"")</f>
        <v/>
      </c>
    </row>
    <row r="307" ht="20.25" customHeight="1" spans="8:10">
      <c r="H307" s="5" t="str">
        <f t="shared" si="4"/>
        <v/>
      </c>
      <c r="J307" s="5" t="str">
        <f>IFERROR(IF(I307="ND","ND",baoliuxiaoshuwei(((I307-基础页!$B$26)*基础页!$B$16)/C307,2)),"")</f>
        <v/>
      </c>
    </row>
    <row r="308" ht="20.25" customHeight="1" spans="8:10">
      <c r="H308" s="5" t="str">
        <f t="shared" si="4"/>
        <v/>
      </c>
      <c r="J308" s="5" t="str">
        <f>IFERROR(IF(I308="ND","ND",baoliuxiaoshuwei(((I308-基础页!$B$26)*基础页!$B$16)/C308,2)),"")</f>
        <v/>
      </c>
    </row>
    <row r="309" ht="20.25" customHeight="1" spans="8:10">
      <c r="H309" s="5" t="str">
        <f t="shared" si="4"/>
        <v/>
      </c>
      <c r="J309" s="5" t="str">
        <f>IFERROR(IF(I309="ND","ND",baoliuxiaoshuwei(((I309-基础页!$B$26)*基础页!$B$16)/C309,2)),"")</f>
        <v/>
      </c>
    </row>
    <row r="310" ht="20.25" customHeight="1" spans="8:10">
      <c r="H310" s="5" t="str">
        <f t="shared" si="4"/>
        <v/>
      </c>
      <c r="J310" s="5" t="str">
        <f>IFERROR(IF(I310="ND","ND",baoliuxiaoshuwei(((I310-基础页!$B$26)*基础页!$B$16)/C310,2)),"")</f>
        <v/>
      </c>
    </row>
    <row r="311" ht="20.25" customHeight="1" spans="8:10">
      <c r="H311" s="5" t="str">
        <f t="shared" si="4"/>
        <v/>
      </c>
      <c r="J311" s="5" t="str">
        <f>IFERROR(IF(I311="ND","ND",baoliuxiaoshuwei(((I311-基础页!$B$26)*基础页!$B$16)/C311,2)),"")</f>
        <v/>
      </c>
    </row>
    <row r="312" ht="20.25" customHeight="1" spans="8:10">
      <c r="H312" s="5" t="str">
        <f t="shared" si="4"/>
        <v/>
      </c>
      <c r="J312" s="5" t="str">
        <f>IFERROR(IF(I312="ND","ND",baoliuxiaoshuwei(((I312-基础页!$B$26)*基础页!$B$16)/C312,2)),"")</f>
        <v/>
      </c>
    </row>
    <row r="313" ht="20.25" customHeight="1" spans="8:10">
      <c r="H313" s="5" t="str">
        <f t="shared" si="4"/>
        <v/>
      </c>
      <c r="J313" s="5" t="str">
        <f>IFERROR(IF(I313="ND","ND",baoliuxiaoshuwei(((I313-基础页!$B$26)*基础页!$B$16)/C313,2)),"")</f>
        <v/>
      </c>
    </row>
    <row r="314" ht="20.25" customHeight="1" spans="8:10">
      <c r="H314" s="5" t="str">
        <f t="shared" si="4"/>
        <v/>
      </c>
      <c r="J314" s="5" t="str">
        <f>IFERROR(IF(I314="ND","ND",baoliuxiaoshuwei(((I314-基础页!$B$26)*基础页!$B$16)/C314,2)),"")</f>
        <v/>
      </c>
    </row>
    <row r="315" ht="20.25" customHeight="1" spans="8:10">
      <c r="H315" s="5" t="str">
        <f t="shared" si="4"/>
        <v/>
      </c>
      <c r="J315" s="5" t="str">
        <f>IFERROR(IF(I315="ND","ND",baoliuxiaoshuwei(((I315-基础页!$B$26)*基础页!$B$16)/C315,2)),"")</f>
        <v/>
      </c>
    </row>
    <row r="316" ht="20.25" customHeight="1" spans="8:10">
      <c r="H316" s="5" t="str">
        <f t="shared" si="4"/>
        <v/>
      </c>
      <c r="J316" s="5" t="str">
        <f>IFERROR(IF(I316="ND","ND",baoliuxiaoshuwei(((I316-基础页!$B$26)*基础页!$B$16)/C316,2)),"")</f>
        <v/>
      </c>
    </row>
    <row r="317" ht="20.25" customHeight="1" spans="8:10">
      <c r="H317" s="5" t="str">
        <f t="shared" si="4"/>
        <v/>
      </c>
      <c r="J317" s="5" t="str">
        <f>IFERROR(IF(I317="ND","ND",baoliuxiaoshuwei(((I317-基础页!$B$26)*基础页!$B$16)/C317,2)),"")</f>
        <v/>
      </c>
    </row>
    <row r="318" ht="20.25" customHeight="1" spans="8:10">
      <c r="H318" s="5" t="str">
        <f t="shared" si="4"/>
        <v/>
      </c>
      <c r="J318" s="5" t="str">
        <f>IFERROR(IF(I318="ND","ND",baoliuxiaoshuwei(((I318-基础页!$B$26)*基础页!$B$16)/C318,2)),"")</f>
        <v/>
      </c>
    </row>
    <row r="319" ht="20.25" customHeight="1" spans="8:10">
      <c r="H319" s="5" t="str">
        <f t="shared" si="4"/>
        <v/>
      </c>
      <c r="J319" s="5" t="str">
        <f>IFERROR(IF(I319="ND","ND",baoliuxiaoshuwei(((I319-基础页!$B$26)*基础页!$B$16)/C319,2)),"")</f>
        <v/>
      </c>
    </row>
    <row r="320" ht="20.25" customHeight="1" spans="8:10">
      <c r="H320" s="5" t="str">
        <f t="shared" si="4"/>
        <v/>
      </c>
      <c r="J320" s="5" t="str">
        <f>IFERROR(IF(I320="ND","ND",baoliuxiaoshuwei(((I320-基础页!$B$26)*基础页!$B$16)/C320,2)),"")</f>
        <v/>
      </c>
    </row>
    <row r="321" ht="20.25" customHeight="1" spans="8:10">
      <c r="H321" s="5" t="str">
        <f t="shared" si="4"/>
        <v/>
      </c>
      <c r="J321" s="5" t="str">
        <f>IFERROR(IF(I321="ND","ND",baoliuxiaoshuwei(((I321-基础页!$B$26)*基础页!$B$16)/C321,2)),"")</f>
        <v/>
      </c>
    </row>
    <row r="322" ht="20.25" customHeight="1" spans="8:10">
      <c r="H322" s="5" t="str">
        <f t="shared" si="4"/>
        <v/>
      </c>
      <c r="J322" s="5" t="str">
        <f>IFERROR(IF(I322="ND","ND",baoliuxiaoshuwei(((I322-基础页!$B$26)*基础页!$B$16)/C322,2)),"")</f>
        <v/>
      </c>
    </row>
    <row r="323" ht="20.25" customHeight="1" spans="8:10">
      <c r="H323" s="5" t="str">
        <f t="shared" si="4"/>
        <v/>
      </c>
      <c r="J323" s="5" t="str">
        <f>IFERROR(IF(I323="ND","ND",baoliuxiaoshuwei(((I323-基础页!$B$26)*基础页!$B$16)/C323,2)),"")</f>
        <v/>
      </c>
    </row>
    <row r="324" ht="20.25" customHeight="1" spans="8:10">
      <c r="H324" s="5" t="str">
        <f t="shared" si="4"/>
        <v/>
      </c>
      <c r="J324" s="5" t="str">
        <f>IFERROR(IF(I324="ND","ND",baoliuxiaoshuwei(((I324-基础页!$B$26)*基础页!$B$16)/C324,2)),"")</f>
        <v/>
      </c>
    </row>
    <row r="325" ht="20.25" customHeight="1" spans="8:10">
      <c r="H325" s="5" t="str">
        <f t="shared" si="4"/>
        <v/>
      </c>
      <c r="J325" s="5" t="str">
        <f>IFERROR(IF(I325="ND","ND",baoliuxiaoshuwei(((I325-基础页!$B$26)*基础页!$B$16)/C325,2)),"")</f>
        <v/>
      </c>
    </row>
    <row r="326" ht="20.25" customHeight="1" spans="8:10">
      <c r="H326" s="5" t="str">
        <f t="shared" ref="H326:H351" si="5">IFERROR(IF(ISBLANK(I326),"",IF(J326="ND","否","是")),"")</f>
        <v/>
      </c>
      <c r="J326" s="5" t="str">
        <f>IFERROR(IF(I326="ND","ND",baoliuxiaoshuwei(((I326-基础页!$B$26)*基础页!$B$16)/C326,2)),"")</f>
        <v/>
      </c>
    </row>
    <row r="327" ht="20.25" customHeight="1" spans="8:10">
      <c r="H327" s="5" t="str">
        <f t="shared" si="5"/>
        <v/>
      </c>
      <c r="J327" s="5" t="str">
        <f>IFERROR(IF(I327="ND","ND",baoliuxiaoshuwei(((I327-基础页!$B$26)*基础页!$B$16)/C327,2)),"")</f>
        <v/>
      </c>
    </row>
    <row r="328" ht="20.25" customHeight="1" spans="8:10">
      <c r="H328" s="5" t="str">
        <f t="shared" si="5"/>
        <v/>
      </c>
      <c r="J328" s="5" t="str">
        <f>IFERROR(IF(I328="ND","ND",baoliuxiaoshuwei(((I328-基础页!$B$26)*基础页!$B$16)/C328,2)),"")</f>
        <v/>
      </c>
    </row>
    <row r="329" ht="20.25" customHeight="1" spans="8:10">
      <c r="H329" s="5" t="str">
        <f t="shared" si="5"/>
        <v/>
      </c>
      <c r="J329" s="5" t="str">
        <f>IFERROR(IF(I329="ND","ND",baoliuxiaoshuwei(((I329-基础页!$B$26)*基础页!$B$16)/C329,2)),"")</f>
        <v/>
      </c>
    </row>
    <row r="330" ht="20.25" customHeight="1" spans="8:10">
      <c r="H330" s="5" t="str">
        <f t="shared" si="5"/>
        <v/>
      </c>
      <c r="J330" s="5" t="str">
        <f>IFERROR(IF(I330="ND","ND",baoliuxiaoshuwei(((I330-基础页!$B$26)*基础页!$B$16)/C330,2)),"")</f>
        <v/>
      </c>
    </row>
    <row r="331" ht="20.25" customHeight="1" spans="8:10">
      <c r="H331" s="5" t="str">
        <f t="shared" si="5"/>
        <v/>
      </c>
      <c r="J331" s="5" t="str">
        <f>IFERROR(IF(I331="ND","ND",baoliuxiaoshuwei(((I331-基础页!$B$26)*基础页!$B$16)/C331,2)),"")</f>
        <v/>
      </c>
    </row>
    <row r="332" ht="20.25" customHeight="1" spans="8:10">
      <c r="H332" s="5" t="str">
        <f t="shared" si="5"/>
        <v/>
      </c>
      <c r="J332" s="5" t="str">
        <f>IFERROR(IF(I332="ND","ND",baoliuxiaoshuwei(((I332-基础页!$B$26)*基础页!$B$16)/C332,2)),"")</f>
        <v/>
      </c>
    </row>
    <row r="333" ht="20.25" customHeight="1" spans="8:10">
      <c r="H333" s="5" t="str">
        <f t="shared" si="5"/>
        <v/>
      </c>
      <c r="J333" s="5" t="str">
        <f>IFERROR(IF(I333="ND","ND",baoliuxiaoshuwei(((I333-基础页!$B$26)*基础页!$B$16)/C333,2)),"")</f>
        <v/>
      </c>
    </row>
    <row r="334" ht="20.25" customHeight="1" spans="8:10">
      <c r="H334" s="5" t="str">
        <f t="shared" si="5"/>
        <v/>
      </c>
      <c r="J334" s="5" t="str">
        <f>IFERROR(IF(I334="ND","ND",baoliuxiaoshuwei(((I334-基础页!$B$26)*基础页!$B$16)/C334,2)),"")</f>
        <v/>
      </c>
    </row>
    <row r="335" ht="20.25" customHeight="1" spans="8:10">
      <c r="H335" s="5" t="str">
        <f t="shared" si="5"/>
        <v/>
      </c>
      <c r="J335" s="5" t="str">
        <f>IFERROR(IF(I335="ND","ND",baoliuxiaoshuwei(((I335-基础页!$B$26)*基础页!$B$16)/C335,2)),"")</f>
        <v/>
      </c>
    </row>
    <row r="336" ht="20.25" customHeight="1" spans="8:10">
      <c r="H336" s="5" t="str">
        <f t="shared" si="5"/>
        <v/>
      </c>
      <c r="J336" s="5" t="str">
        <f>IFERROR(IF(I336="ND","ND",baoliuxiaoshuwei(((I336-基础页!$B$26)*基础页!$B$16)/C336,2)),"")</f>
        <v/>
      </c>
    </row>
    <row r="337" ht="20.25" customHeight="1" spans="8:10">
      <c r="H337" s="5" t="str">
        <f t="shared" si="5"/>
        <v/>
      </c>
      <c r="J337" s="5" t="str">
        <f>IFERROR(IF(I337="ND","ND",baoliuxiaoshuwei(((I337-基础页!$B$26)*基础页!$B$16)/C337,2)),"")</f>
        <v/>
      </c>
    </row>
    <row r="338" ht="20.25" customHeight="1" spans="8:10">
      <c r="H338" s="5" t="str">
        <f t="shared" si="5"/>
        <v/>
      </c>
      <c r="J338" s="5" t="str">
        <f>IFERROR(IF(I338="ND","ND",baoliuxiaoshuwei(((I338-基础页!$B$26)*基础页!$B$16)/C338,2)),"")</f>
        <v/>
      </c>
    </row>
    <row r="339" ht="20.25" customHeight="1" spans="8:10">
      <c r="H339" s="5" t="str">
        <f t="shared" si="5"/>
        <v/>
      </c>
      <c r="J339" s="5" t="str">
        <f>IFERROR(IF(I339="ND","ND",baoliuxiaoshuwei(((I339-基础页!$B$26)*基础页!$B$16)/C339,2)),"")</f>
        <v/>
      </c>
    </row>
    <row r="340" ht="20.25" customHeight="1" spans="8:10">
      <c r="H340" s="5" t="str">
        <f t="shared" si="5"/>
        <v/>
      </c>
      <c r="J340" s="5" t="str">
        <f>IFERROR(IF(I340="ND","ND",baoliuxiaoshuwei(((I340-基础页!$B$26)*基础页!$B$16)/C340,2)),"")</f>
        <v/>
      </c>
    </row>
    <row r="341" ht="20.25" customHeight="1" spans="8:10">
      <c r="H341" s="5" t="str">
        <f t="shared" si="5"/>
        <v/>
      </c>
      <c r="J341" s="5" t="str">
        <f>IFERROR(IF(I341="ND","ND",baoliuxiaoshuwei(((I341-基础页!$B$26)*基础页!$B$16)/C341,2)),"")</f>
        <v/>
      </c>
    </row>
    <row r="342" ht="20.25" customHeight="1" spans="8:10">
      <c r="H342" s="5" t="str">
        <f t="shared" si="5"/>
        <v/>
      </c>
      <c r="J342" s="5" t="str">
        <f>IFERROR(IF(I342="ND","ND",baoliuxiaoshuwei(((I342-基础页!$B$26)*基础页!$B$16)/C342,2)),"")</f>
        <v/>
      </c>
    </row>
    <row r="343" ht="20.25" customHeight="1" spans="8:10">
      <c r="H343" s="5" t="str">
        <f t="shared" si="5"/>
        <v/>
      </c>
      <c r="J343" s="5" t="str">
        <f>IFERROR(IF(I343="ND","ND",baoliuxiaoshuwei(((I343-基础页!$B$26)*基础页!$B$16)/C343,2)),"")</f>
        <v/>
      </c>
    </row>
    <row r="344" ht="20.25" customHeight="1" spans="8:10">
      <c r="H344" s="5" t="str">
        <f t="shared" si="5"/>
        <v/>
      </c>
      <c r="J344" s="5" t="str">
        <f>IFERROR(IF(I344="ND","ND",baoliuxiaoshuwei(((I344-基础页!$B$26)*基础页!$B$16)/C344,2)),"")</f>
        <v/>
      </c>
    </row>
    <row r="345" ht="20.25" customHeight="1" spans="8:10">
      <c r="H345" s="5" t="str">
        <f t="shared" si="5"/>
        <v/>
      </c>
      <c r="J345" s="5" t="str">
        <f>IFERROR(IF(I345="ND","ND",baoliuxiaoshuwei(((I345-基础页!$B$26)*基础页!$B$16)/C345,2)),"")</f>
        <v/>
      </c>
    </row>
    <row r="346" ht="20.25" customHeight="1" spans="8:10">
      <c r="H346" s="5" t="str">
        <f t="shared" si="5"/>
        <v/>
      </c>
      <c r="J346" s="5" t="str">
        <f>IFERROR(IF(I346="ND","ND",baoliuxiaoshuwei(((I346-基础页!$B$26)*基础页!$B$16)/C346,2)),"")</f>
        <v/>
      </c>
    </row>
    <row r="347" ht="20.25" customHeight="1" spans="8:10">
      <c r="H347" s="5" t="str">
        <f t="shared" si="5"/>
        <v/>
      </c>
      <c r="J347" s="5" t="str">
        <f>IFERROR(IF(I347="ND","ND",baoliuxiaoshuwei(((I347-基础页!$B$26)*基础页!$B$16)/C347,2)),"")</f>
        <v/>
      </c>
    </row>
    <row r="348" ht="20.25" customHeight="1" spans="8:10">
      <c r="H348" s="5" t="str">
        <f t="shared" si="5"/>
        <v/>
      </c>
      <c r="J348" s="5" t="str">
        <f>IFERROR(IF(I348="ND","ND",baoliuxiaoshuwei(((I348-基础页!$B$26)*基础页!$B$16)/C348,2)),"")</f>
        <v/>
      </c>
    </row>
    <row r="349" ht="20.25" customHeight="1" spans="8:10">
      <c r="H349" s="5" t="str">
        <f t="shared" si="5"/>
        <v/>
      </c>
      <c r="J349" s="5" t="str">
        <f>IFERROR(IF(I349="ND","ND",baoliuxiaoshuwei(((I349-基础页!$B$26)*基础页!$B$16)/C349,2)),"")</f>
        <v/>
      </c>
    </row>
    <row r="350" ht="20.25" customHeight="1" spans="8:10">
      <c r="H350" s="5" t="str">
        <f t="shared" si="5"/>
        <v/>
      </c>
      <c r="J350" s="5" t="str">
        <f>IFERROR(IF(I350="ND","ND",baoliuxiaoshuwei(((I350-基础页!$B$26)*基础页!$B$16)/C350,2)),"")</f>
        <v/>
      </c>
    </row>
    <row r="351" ht="20.25" customHeight="1" spans="8:10">
      <c r="H351" s="5" t="str">
        <f t="shared" si="5"/>
        <v/>
      </c>
      <c r="J351" s="5" t="str">
        <f>IFERROR(IF(I351="ND","ND",baoliuxiaoshuwei(((I351-基础页!$B$26)*基础页!$B$16)/C351,2)),"")</f>
        <v/>
      </c>
    </row>
    <row r="352" ht="20.25" customHeight="1" spans="10:10">
      <c r="J352" s="5" t="str">
        <f>IFERROR(IF(I352="ND","ND",baoliuxiaoshuwei(((I352-基础页!$B$26)*基础页!$B$16)/C352,2)),"")</f>
        <v/>
      </c>
    </row>
    <row r="353" ht="20.25" customHeight="1" spans="10:10">
      <c r="J353" s="5" t="str">
        <f>IFERROR(IF(I353="ND","ND",baoliuxiaoshuwei(((I353-基础页!$B$26)*基础页!$B$16)/C353,2)),"")</f>
        <v/>
      </c>
    </row>
    <row r="354" ht="20.25" customHeight="1" spans="10:10">
      <c r="J354" s="5" t="str">
        <f>IFERROR(IF(I354="ND","ND",baoliuxiaoshuwei(((I354-基础页!$B$26)*基础页!$B$16)/C354,2)),"")</f>
        <v/>
      </c>
    </row>
    <row r="355" ht="20.25" customHeight="1" spans="10:10">
      <c r="J355" s="5" t="str">
        <f>IFERROR(IF(I355="ND","ND",baoliuxiaoshuwei(((I355-基础页!$B$26)*基础页!$B$16)/C355,2)),"")</f>
        <v/>
      </c>
    </row>
    <row r="356" ht="20.25" customHeight="1" spans="10:10">
      <c r="J356" s="5" t="str">
        <f>IFERROR(IF(I356="ND","ND",baoliuxiaoshuwei(((I356-基础页!$B$26)*基础页!$B$16)/C356,2)),"")</f>
        <v/>
      </c>
    </row>
    <row r="357" ht="20.25" customHeight="1" spans="10:10">
      <c r="J357" s="5" t="str">
        <f>IFERROR(IF(I357="ND","ND",baoliuxiaoshuwei(((I357-基础页!$B$26)*基础页!$B$16)/C357,2)),"")</f>
        <v/>
      </c>
    </row>
    <row r="358" ht="20.25" customHeight="1" spans="10:10">
      <c r="J358" s="5" t="str">
        <f>IFERROR(IF(I358="ND","ND",baoliuxiaoshuwei(((I358-基础页!$B$26)*基础页!$B$16)/C358,2)),"")</f>
        <v/>
      </c>
    </row>
    <row r="359" ht="20.25" customHeight="1" spans="10:10">
      <c r="J359" s="5" t="str">
        <f>IFERROR(IF(I359="ND","ND",baoliuxiaoshuwei(((I359-基础页!$B$26)*基础页!$B$16)/C359,2)),"")</f>
        <v/>
      </c>
    </row>
    <row r="360" ht="20.25" customHeight="1" spans="10:10">
      <c r="J360" s="5" t="str">
        <f>IFERROR(IF(I360="ND","ND",baoliuxiaoshuwei(((I360-基础页!$B$26)*基础页!$B$16)/C360,2)),"")</f>
        <v/>
      </c>
    </row>
    <row r="361" ht="20.25" customHeight="1" spans="10:10">
      <c r="J361" s="5" t="str">
        <f>IFERROR(IF(I361="ND","ND",baoliuxiaoshuwei(((I361-基础页!$B$26)*基础页!$B$16)/C361,2)),"")</f>
        <v/>
      </c>
    </row>
    <row r="362" ht="20.25" customHeight="1"/>
    <row r="363" ht="20.25" customHeight="1"/>
    <row r="364" ht="20.25" customHeight="1"/>
    <row r="365" ht="20.25" customHeight="1"/>
    <row r="366" ht="20.25" customHeight="1"/>
    <row r="367" ht="20.25" customHeight="1"/>
    <row r="368" ht="20.25" customHeight="1"/>
    <row r="369" ht="20.25" customHeight="1"/>
    <row r="370" ht="20.25" customHeight="1"/>
    <row r="371" ht="20.25" customHeight="1"/>
    <row r="372" ht="20.25" customHeight="1"/>
    <row r="373" ht="20.25" customHeight="1"/>
  </sheetData>
  <sheetProtection formatCells="0" formatColumns="0" formatRows="0" sort="0" autoFilter="0" pivotTables="0"/>
  <mergeCells count="18">
    <mergeCell ref="A1:K1"/>
    <mergeCell ref="E2:H2"/>
    <mergeCell ref="I2:J2"/>
    <mergeCell ref="K2:O2"/>
    <mergeCell ref="E3:G3"/>
    <mergeCell ref="A2:A4"/>
    <mergeCell ref="B2:B4"/>
    <mergeCell ref="C2:C4"/>
    <mergeCell ref="D2:D4"/>
    <mergeCell ref="H3:H4"/>
    <mergeCell ref="I3:I4"/>
    <mergeCell ref="J3:J4"/>
    <mergeCell ref="K3:K4"/>
    <mergeCell ref="L3:L4"/>
    <mergeCell ref="M3:M4"/>
    <mergeCell ref="N3:N4"/>
    <mergeCell ref="O3:O4"/>
    <mergeCell ref="P2:P4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基础页</vt:lpstr>
      <vt:lpstr>分析记录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Windows 用户</cp:lastModifiedBy>
  <dcterms:created xsi:type="dcterms:W3CDTF">2006-09-16T00:00:00Z</dcterms:created>
  <dcterms:modified xsi:type="dcterms:W3CDTF">2021-10-26T09:04:33Z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