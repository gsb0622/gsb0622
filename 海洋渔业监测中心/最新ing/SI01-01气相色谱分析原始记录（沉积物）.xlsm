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35" windowHeight="10215"/>
  </bookViews>
  <sheets>
    <sheet name="基础页" sheetId="5" r:id="rId1"/>
    <sheet name="分析记录" sheetId="6" r:id="rId2"/>
  </sheets>
  <calcPr calcId="144525"/>
</workbook>
</file>

<file path=xl/sharedStrings.xml><?xml version="1.0" encoding="utf-8"?>
<sst xmlns="http://schemas.openxmlformats.org/spreadsheetml/2006/main" count="83">
  <si>
    <r>
      <rPr>
        <b/>
        <sz val="11"/>
        <color theme="0"/>
        <rFont val="宋体"/>
        <charset val="134"/>
      </rPr>
      <t>基本信息</t>
    </r>
  </si>
  <si>
    <t xml:space="preserve"> </t>
  </si>
  <si>
    <t>模板编号</t>
  </si>
  <si>
    <t>科学</t>
  </si>
  <si>
    <t>严谨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</si>
  <si>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AS004</t>
    </r>
  </si>
  <si>
    <t xml:space="preserve"> Agilent 6890N</t>
  </si>
  <si>
    <t>任务号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</si>
  <si>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AS471</t>
    </r>
  </si>
  <si>
    <t xml:space="preserve"> Clarus 680</t>
  </si>
  <si>
    <t>任务名称</t>
  </si>
  <si>
    <r>
      <rPr>
        <sz val="11"/>
        <color theme="0" tint="-0.0499893185216834"/>
        <rFont val="宋体"/>
        <charset val="134"/>
      </rPr>
      <t xml:space="preserve"> 气相色谱仪</t>
    </r>
    <r>
      <rPr>
        <sz val="11"/>
        <color theme="0" tint="-0.0499893185216834"/>
        <rFont val="Times New Roman"/>
        <charset val="134"/>
      </rPr>
      <t>AS530</t>
    </r>
  </si>
  <si>
    <t>NexisGC-2030</t>
  </si>
  <si>
    <t>样品类别</t>
  </si>
  <si>
    <t>安全</t>
  </si>
  <si>
    <t>高效</t>
  </si>
  <si>
    <r>
      <rPr>
        <sz val="11"/>
        <color theme="0" tint="-0.0499893185216834"/>
        <rFont val="Times New Roman"/>
        <charset val="134"/>
      </rPr>
      <t xml:space="preserve"> 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AS007</t>
    </r>
  </si>
  <si>
    <t>Agilent6890N</t>
  </si>
  <si>
    <t>检测地点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</si>
  <si>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AS340</t>
    </r>
  </si>
  <si>
    <t xml:space="preserve">   Agilent7890B/5977A</t>
  </si>
  <si>
    <t>检测方法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</si>
  <si>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AS117</t>
    </r>
  </si>
  <si>
    <t xml:space="preserve">  Agilent6890N/5975B</t>
  </si>
  <si>
    <t>温度(℃)</t>
  </si>
  <si>
    <r>
      <rPr>
        <sz val="11"/>
        <color theme="1"/>
        <rFont val="宋体"/>
        <charset val="134"/>
      </rPr>
      <t>湿度</t>
    </r>
    <r>
      <rPr>
        <sz val="11"/>
        <color theme="1"/>
        <rFont val="Times New Roman"/>
        <charset val="134"/>
      </rPr>
      <t>(%)</t>
    </r>
  </si>
  <si>
    <t>检出限</t>
  </si>
  <si>
    <r>
      <rPr>
        <b/>
        <sz val="11"/>
        <color theme="1"/>
        <rFont val="宋体"/>
        <charset val="134"/>
      </rPr>
      <t>说明：</t>
    </r>
  </si>
  <si>
    <t>定量限</t>
  </si>
  <si>
    <r>
      <rPr>
        <sz val="11"/>
        <color rgb="FFFF0000"/>
        <rFont val="宋体"/>
        <charset val="134"/>
      </rPr>
      <t>为需填写内容</t>
    </r>
  </si>
  <si>
    <t>仪器名称及编号</t>
  </si>
  <si>
    <r>
      <rPr>
        <sz val="11"/>
        <color rgb="FFFF0000"/>
        <rFont val="宋体"/>
        <charset val="134"/>
      </rPr>
      <t>为不需要填写</t>
    </r>
  </si>
  <si>
    <t>仪器型号</t>
  </si>
  <si>
    <t>SH-Rtx-1(30m×0.25mm×0.25μm)</t>
  </si>
  <si>
    <r>
      <rPr>
        <sz val="11"/>
        <color rgb="FFFF0000"/>
        <rFont val="宋体"/>
        <charset val="134"/>
      </rPr>
      <t>为质控模块</t>
    </r>
  </si>
  <si>
    <t>天平编号</t>
  </si>
  <si>
    <t>HP-5 (30m×0.32mm×0.25μm)</t>
  </si>
  <si>
    <t>检测日期</t>
  </si>
  <si>
    <r>
      <rPr>
        <sz val="11"/>
        <color theme="1"/>
        <rFont val="宋体"/>
        <charset val="134"/>
      </rPr>
      <t>定容体积</t>
    </r>
    <r>
      <rPr>
        <sz val="11"/>
        <color theme="1"/>
        <rFont val="Times New Roman"/>
        <charset val="134"/>
      </rPr>
      <t>V</t>
    </r>
    <r>
      <rPr>
        <vertAlign val="subscript"/>
        <sz val="11"/>
        <color theme="1"/>
        <rFont val="Times New Roman"/>
        <charset val="134"/>
      </rPr>
      <t>1</t>
    </r>
    <r>
      <rPr>
        <sz val="11"/>
        <color theme="1"/>
        <rFont val="Times New Roman"/>
        <charset val="134"/>
      </rPr>
      <t>(mL)</t>
    </r>
  </si>
  <si>
    <t>DB-1701(30m×0.25mm×0.25μm)</t>
  </si>
  <si>
    <t>色谱条件</t>
  </si>
  <si>
    <t>色谱柱</t>
  </si>
  <si>
    <r>
      <rPr>
        <sz val="11"/>
        <color theme="1"/>
        <rFont val="宋体"/>
        <charset val="134"/>
      </rPr>
      <t>进样口温度</t>
    </r>
    <r>
      <rPr>
        <sz val="11"/>
        <color theme="1"/>
        <rFont val="Times New Roman"/>
        <charset val="134"/>
      </rPr>
      <t>(</t>
    </r>
    <r>
      <rPr>
        <sz val="11"/>
        <color theme="1"/>
        <rFont val="宋体"/>
        <charset val="134"/>
      </rPr>
      <t>℃</t>
    </r>
    <r>
      <rPr>
        <sz val="11"/>
        <color theme="1"/>
        <rFont val="Times New Roman"/>
        <charset val="134"/>
      </rPr>
      <t>)</t>
    </r>
  </si>
  <si>
    <t>不分流进样</t>
  </si>
  <si>
    <t>进样方式</t>
  </si>
  <si>
    <r>
      <rPr>
        <sz val="11"/>
        <color theme="1"/>
        <rFont val="宋体"/>
        <charset val="134"/>
      </rPr>
      <t>检测器温度</t>
    </r>
    <r>
      <rPr>
        <sz val="11"/>
        <color theme="1"/>
        <rFont val="Times New Roman"/>
        <charset val="134"/>
      </rPr>
      <t>(</t>
    </r>
    <r>
      <rPr>
        <sz val="11"/>
        <color theme="1"/>
        <rFont val="宋体"/>
        <charset val="134"/>
      </rPr>
      <t>℃</t>
    </r>
    <r>
      <rPr>
        <sz val="11"/>
        <color theme="1"/>
        <rFont val="Times New Roman"/>
        <charset val="134"/>
      </rPr>
      <t>)</t>
    </r>
  </si>
  <si>
    <r>
      <rPr>
        <sz val="11"/>
        <color theme="0" tint="-0.0499893185216834"/>
        <rFont val="宋体"/>
        <charset val="134"/>
      </rPr>
      <t>分流进样（分流比</t>
    </r>
    <r>
      <rPr>
        <sz val="11"/>
        <color theme="0" tint="-0.0499893185216834"/>
        <rFont val="Times New Roman"/>
        <charset val="134"/>
      </rPr>
      <t xml:space="preserve">  :  </t>
    </r>
    <r>
      <rPr>
        <sz val="11"/>
        <color theme="0" tint="-0.0499893185216834"/>
        <rFont val="宋体"/>
        <charset val="134"/>
      </rPr>
      <t>）</t>
    </r>
  </si>
  <si>
    <r>
      <rPr>
        <sz val="11"/>
        <color theme="1"/>
        <rFont val="宋体"/>
        <charset val="134"/>
      </rPr>
      <t>流速</t>
    </r>
    <r>
      <rPr>
        <sz val="11"/>
        <color theme="1"/>
        <rFont val="Times New Roman"/>
        <charset val="134"/>
      </rPr>
      <t>(mL/min)</t>
    </r>
  </si>
  <si>
    <r>
      <rPr>
        <sz val="11"/>
        <color theme="1"/>
        <rFont val="宋体"/>
        <charset val="134"/>
      </rPr>
      <t>进样体积</t>
    </r>
    <r>
      <rPr>
        <sz val="11"/>
        <color theme="1"/>
        <rFont val="Times New Roman"/>
        <charset val="134"/>
      </rPr>
      <t>(μL)</t>
    </r>
  </si>
  <si>
    <t>柱温程序</t>
  </si>
  <si>
    <t>标准溶液</t>
  </si>
  <si>
    <r>
      <rPr>
        <sz val="11"/>
        <color theme="1"/>
        <rFont val="宋体"/>
        <charset val="134"/>
      </rPr>
      <t>标准工作溶液浓度</t>
    </r>
    <r>
      <rPr>
        <sz val="11"/>
        <color theme="1"/>
        <rFont val="Times New Roman"/>
        <charset val="134"/>
      </rPr>
      <t>(  )</t>
    </r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</si>
  <si>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</si>
  <si>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</si>
  <si>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</si>
  <si>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</t>
    </r>
    <r>
      <rPr>
        <sz val="11"/>
        <color theme="1"/>
        <rFont val="Times New Roman"/>
        <charset val="134"/>
      </rPr>
      <t>C</t>
    </r>
    <r>
      <rPr>
        <vertAlign val="subscript"/>
        <sz val="11"/>
        <color theme="1"/>
        <rFont val="Times New Roman"/>
        <charset val="134"/>
      </rPr>
      <t>0</t>
    </r>
  </si>
  <si>
    <t>计算公式</t>
  </si>
  <si>
    <r>
      <rPr>
        <sz val="11"/>
        <color theme="1"/>
        <rFont val="Times New Roman"/>
        <charset val="134"/>
      </rPr>
      <t>X=(C</t>
    </r>
    <r>
      <rPr>
        <vertAlign val="subscript"/>
        <sz val="11"/>
        <color theme="1"/>
        <rFont val="Times New Roman"/>
        <charset val="134"/>
      </rPr>
      <t>S</t>
    </r>
    <r>
      <rPr>
        <sz val="11"/>
        <color theme="1"/>
        <rFont val="Times New Roman"/>
        <charset val="134"/>
      </rPr>
      <t>-C</t>
    </r>
    <r>
      <rPr>
        <vertAlign val="subscript"/>
        <sz val="11"/>
        <color theme="1"/>
        <rFont val="Times New Roman"/>
        <charset val="134"/>
      </rPr>
      <t>O</t>
    </r>
    <r>
      <rPr>
        <sz val="11"/>
        <color theme="1"/>
        <rFont val="Times New Roman"/>
        <charset val="134"/>
      </rPr>
      <t>)×V</t>
    </r>
    <r>
      <rPr>
        <vertAlign val="subscript"/>
        <sz val="11"/>
        <color theme="1"/>
        <rFont val="Times New Roman"/>
        <charset val="134"/>
      </rPr>
      <t>1</t>
    </r>
    <r>
      <rPr>
        <sz val="11"/>
        <color theme="1"/>
        <rFont val="Times New Roman"/>
        <charset val="134"/>
      </rPr>
      <t>÷(m×(1-W))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</si>
  <si>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</si>
  <si>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</si>
  <si>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</si>
  <si>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</si>
  <si>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</si>
  <si>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</si>
  <si>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</si>
  <si>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取样量m(  )</t>
  </si>
  <si>
    <t>检测项目</t>
  </si>
  <si>
    <t>定性判定</t>
  </si>
  <si>
    <t>定量结果</t>
  </si>
  <si>
    <t>质控</t>
  </si>
  <si>
    <t>含水率%</t>
  </si>
  <si>
    <t>备注</t>
  </si>
  <si>
    <t>保留时间（min）</t>
  </si>
  <si>
    <t>是否阳性</t>
  </si>
  <si>
    <t>样液测定结果
Cs（   ）</t>
  </si>
  <si>
    <t>样品残留量
X（   ）</t>
  </si>
  <si>
    <t>标样推荐值/加标浓度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</si>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</sst>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11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_ "/>
    <numFmt numFmtId="177" formatCode="0.0000000_ "/>
    <numFmt numFmtId="178" formatCode="0.0000_ "/>
    <numFmt numFmtId="179" formatCode="0.00_);[Red]\(0.00\)"/>
    <numFmt numFmtId="180" formatCode="0.0_ ;[Red]\-0.0\ "/>
    <numFmt numFmtId="181" formatCode="0.00_ "/>
    <numFmt numFmtId="182" formatCode="0.0"/>
  </numFmts>
  <fonts count="38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1"/>
      <name val="宋体"/>
      <charset val="134"/>
      <scheme val="minor"/>
    </font>
    <font>
      <sz val="10"/>
      <name val="Arial"/>
      <charset val="134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Times New Roman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7" fillId="20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26" borderId="20" applyNumberFormat="0" applyFont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3" fillId="0" borderId="18" applyNumberFormat="0" applyFill="0" applyAlignment="0" applyProtection="0">
      <alignment vertical="center"/>
    </xf>
    <xf numFmtId="0" fontId="25" fillId="0" borderId="18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29" fillId="13" borderId="19" applyNumberFormat="0" applyAlignment="0" applyProtection="0">
      <alignment vertical="center"/>
    </xf>
    <xf numFmtId="0" fontId="21" fillId="13" borderId="16" applyNumberFormat="0" applyAlignment="0" applyProtection="0">
      <alignment vertical="center"/>
    </xf>
    <xf numFmtId="0" fontId="32" fillId="30" borderId="21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14" fillId="0" borderId="14" applyNumberFormat="0" applyFill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33" fillId="0" borderId="0"/>
    <xf numFmtId="0" fontId="34" fillId="0" borderId="0"/>
  </cellStyleXfs>
  <cellXfs count="118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50" applyNumberFormat="1" applyFont="1" applyFill="1" applyBorder="1" applyAlignment="1" applyProtection="1">
      <alignment horizontal="left" vertical="center"/>
      <protection locked="0"/>
    </xf>
    <xf numFmtId="49" fontId="2" fillId="6" borderId="0" xfId="50" applyNumberFormat="1" applyFont="1" applyFill="1" applyBorder="1" applyAlignment="1" applyProtection="1">
      <alignment horizontal="left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0" fontId="3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8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178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3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3" xfId="0" applyFont="1" applyFill="1" applyBorder="1" applyAlignment="1" applyProtection="1">
      <alignment horizontal="center" vertical="center" wrapText="1"/>
      <protection locked="0"/>
    </xf>
    <xf numFmtId="0" fontId="3" fillId="5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5" borderId="5" xfId="0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1" xfId="0" applyNumberFormat="1" applyFont="1" applyFill="1" applyBorder="1" applyAlignment="1" applyProtection="1">
      <alignment horizontal="center" vertical="center"/>
      <protection locked="0"/>
    </xf>
    <xf numFmtId="179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Alignment="1" applyProtection="1">
      <alignment horizontal="center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1" fillId="3" borderId="7" xfId="0" applyNumberFormat="1" applyFont="1" applyFill="1" applyBorder="1" applyAlignment="1" applyProtection="1">
      <alignment horizontal="center" vertical="center"/>
      <protection locked="0"/>
    </xf>
    <xf numFmtId="49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Protection="1"/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49" fontId="5" fillId="3" borderId="8" xfId="0" applyNumberFormat="1" applyFont="1" applyFill="1" applyBorder="1" applyAlignment="1" applyProtection="1">
      <alignment horizontal="center" vertical="center"/>
      <protection locked="0"/>
    </xf>
    <xf numFmtId="18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vertical="center"/>
      <protection locked="0"/>
    </xf>
    <xf numFmtId="49" fontId="1" fillId="4" borderId="7" xfId="0" applyNumberFormat="1" applyFont="1" applyFill="1" applyBorder="1" applyAlignment="1" applyProtection="1">
      <alignment horizontal="right" vertical="center"/>
      <protection locked="0"/>
    </xf>
    <xf numFmtId="49" fontId="5" fillId="4" borderId="1" xfId="0" applyNumberFormat="1" applyFont="1" applyFill="1" applyBorder="1" applyAlignment="1" applyProtection="1">
      <alignment horizontal="left"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176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7" xfId="0" applyNumberFormat="1" applyFont="1" applyFill="1" applyBorder="1" applyAlignment="1" applyProtection="1">
      <alignment horizontal="center" vertical="center"/>
      <protection locked="0"/>
    </xf>
    <xf numFmtId="176" fontId="1" fillId="4" borderId="8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1" fillId="4" borderId="6" xfId="0" applyNumberFormat="1" applyFont="1" applyFill="1" applyBorder="1" applyAlignment="1" applyProtection="1">
      <alignment horizontal="center" vertical="center"/>
      <protection locked="0"/>
    </xf>
    <xf numFmtId="0" fontId="1" fillId="4" borderId="7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NumberFormat="1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176" fontId="5" fillId="4" borderId="7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8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181" fontId="1" fillId="4" borderId="6" xfId="0" applyNumberFormat="1" applyFont="1" applyFill="1" applyBorder="1" applyAlignment="1" applyProtection="1">
      <alignment horizontal="center" vertical="center"/>
      <protection locked="0"/>
    </xf>
    <xf numFmtId="181" fontId="1" fillId="4" borderId="7" xfId="0" applyNumberFormat="1" applyFont="1" applyFill="1" applyBorder="1" applyAlignment="1" applyProtection="1">
      <alignment horizontal="center" vertical="center"/>
      <protection locked="0"/>
    </xf>
    <xf numFmtId="181" fontId="1" fillId="4" borderId="8" xfId="0" applyNumberFormat="1" applyFont="1" applyFill="1" applyBorder="1" applyAlignment="1" applyProtection="1">
      <alignment horizontal="center" vertical="center"/>
      <protection locked="0"/>
    </xf>
    <xf numFmtId="49" fontId="5" fillId="7" borderId="3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49" fontId="10" fillId="2" borderId="0" xfId="0" applyNumberFormat="1" applyFont="1" applyFill="1" applyBorder="1" applyProtection="1"/>
    <xf numFmtId="18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0" xfId="0" applyNumberFormat="1" applyFont="1" applyFill="1" applyBorder="1" applyProtection="1"/>
    <xf numFmtId="49" fontId="5" fillId="7" borderId="5" xfId="0" applyNumberFormat="1" applyFont="1" applyFill="1" applyBorder="1" applyAlignment="1">
      <alignment horizontal="center" vertical="center"/>
    </xf>
    <xf numFmtId="0" fontId="5" fillId="4" borderId="6" xfId="0" applyNumberFormat="1" applyFont="1" applyFill="1" applyBorder="1" applyAlignment="1" applyProtection="1">
      <alignment horizontal="left" vertical="center" wrapText="1"/>
      <protection locked="0"/>
    </xf>
    <xf numFmtId="0" fontId="1" fillId="4" borderId="7" xfId="0" applyNumberFormat="1" applyFont="1" applyFill="1" applyBorder="1" applyAlignment="1" applyProtection="1">
      <alignment horizontal="left" vertical="center" wrapText="1"/>
      <protection locked="0"/>
    </xf>
    <xf numFmtId="0" fontId="1" fillId="4" borderId="8" xfId="0" applyNumberFormat="1" applyFont="1" applyFill="1" applyBorder="1" applyAlignment="1" applyProtection="1">
      <alignment horizontal="left" vertical="center" wrapText="1"/>
      <protection locked="0"/>
    </xf>
    <xf numFmtId="49" fontId="5" fillId="7" borderId="3" xfId="0" applyNumberFormat="1" applyFont="1" applyFill="1" applyBorder="1" applyAlignment="1">
      <alignment horizontal="center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7" borderId="5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1" fillId="7" borderId="9" xfId="0" applyNumberFormat="1" applyFont="1" applyFill="1" applyBorder="1" applyAlignment="1">
      <alignment horizontal="center" vertical="center"/>
    </xf>
    <xf numFmtId="0" fontId="5" fillId="4" borderId="6" xfId="0" applyNumberFormat="1" applyFont="1" applyFill="1" applyBorder="1" applyAlignment="1">
      <alignment horizontal="center" vertical="center" wrapText="1"/>
    </xf>
    <xf numFmtId="0" fontId="5" fillId="4" borderId="7" xfId="0" applyNumberFormat="1" applyFont="1" applyFill="1" applyBorder="1" applyAlignment="1">
      <alignment horizontal="center" vertical="center" wrapText="1"/>
    </xf>
    <xf numFmtId="0" fontId="5" fillId="4" borderId="10" xfId="0" applyNumberFormat="1" applyFont="1" applyFill="1" applyBorder="1" applyAlignment="1">
      <alignment horizontal="right" vertical="center" wrapText="1"/>
    </xf>
    <xf numFmtId="49" fontId="5" fillId="7" borderId="1" xfId="0" applyNumberFormat="1" applyFont="1" applyFill="1" applyBorder="1" applyAlignment="1">
      <alignment horizontal="center" vertical="center"/>
    </xf>
    <xf numFmtId="49" fontId="1" fillId="4" borderId="6" xfId="0" applyNumberFormat="1" applyFont="1" applyFill="1" applyBorder="1" applyAlignment="1">
      <alignment horizontal="center" vertical="center" wrapText="1"/>
    </xf>
    <xf numFmtId="49" fontId="1" fillId="4" borderId="7" xfId="0" applyNumberFormat="1" applyFont="1" applyFill="1" applyBorder="1" applyAlignment="1">
      <alignment horizontal="center" vertical="center" wrapText="1"/>
    </xf>
    <xf numFmtId="49" fontId="1" fillId="4" borderId="8" xfId="0" applyNumberFormat="1" applyFont="1" applyFill="1" applyBorder="1" applyAlignment="1">
      <alignment horizontal="center" vertical="center" wrapText="1"/>
    </xf>
    <xf numFmtId="49" fontId="11" fillId="6" borderId="6" xfId="0" applyNumberFormat="1" applyFont="1" applyFill="1" applyBorder="1" applyAlignment="1" applyProtection="1">
      <alignment horizontal="left" vertical="center"/>
      <protection locked="0"/>
    </xf>
    <xf numFmtId="49" fontId="11" fillId="6" borderId="11" xfId="0" applyNumberFormat="1" applyFont="1" applyFill="1" applyBorder="1" applyAlignment="1" applyProtection="1">
      <alignment horizontal="left" vertical="center"/>
      <protection locked="0"/>
    </xf>
    <xf numFmtId="49" fontId="11" fillId="6" borderId="12" xfId="0" applyNumberFormat="1" applyFont="1" applyFill="1" applyBorder="1" applyAlignment="1" applyProtection="1">
      <alignment horizontal="left" vertical="center"/>
      <protection locked="0"/>
    </xf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2" fillId="8" borderId="0" xfId="0" applyNumberFormat="1" applyFont="1" applyFill="1" applyBorder="1" applyProtection="1"/>
    <xf numFmtId="49" fontId="7" fillId="8" borderId="0" xfId="0" applyNumberFormat="1" applyFont="1" applyFill="1" applyBorder="1" applyProtection="1"/>
    <xf numFmtId="49" fontId="13" fillId="2" borderId="13" xfId="0" applyNumberFormat="1" applyFont="1" applyFill="1" applyBorder="1" applyAlignment="1" applyProtection="1"/>
    <xf numFmtId="49" fontId="1" fillId="2" borderId="13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8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7" borderId="0" xfId="0" applyNumberFormat="1" applyFont="1" applyFill="1" applyBorder="1" applyProtection="1"/>
    <xf numFmtId="49" fontId="9" fillId="2" borderId="0" xfId="0" applyNumberFormat="1" applyFont="1" applyFill="1" applyAlignment="1">
      <alignment vertical="center"/>
    </xf>
    <xf numFmtId="49" fontId="8" fillId="2" borderId="0" xfId="0" applyNumberFormat="1" applyFont="1" applyFill="1" applyAlignme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Normal" xfId="49"/>
    <cellStyle name="常规 2" xfId="50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4032230" y="432117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640050" y="409067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12</xdr:col>
      <xdr:colOff>49307</xdr:colOff>
      <xdr:row>17</xdr:row>
      <xdr:rowOff>134471</xdr:rowOff>
    </xdr:from>
    <xdr:ext cx="65" cy="172227"/>
    <xdr:sp>
      <xdr:nvSpPr>
        <xdr:cNvPr id="4" name="文本框 3"/>
        <xdr:cNvSpPr txBox="1"/>
      </xdr:nvSpPr>
      <xdr:spPr>
        <a:xfrm>
          <a:off x="11628755" y="512191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174812</xdr:colOff>
      <xdr:row>19</xdr:row>
      <xdr:rowOff>80682</xdr:rowOff>
    </xdr:from>
    <xdr:ext cx="65" cy="172227"/>
    <xdr:sp>
      <xdr:nvSpPr>
        <xdr:cNvPr id="5" name="文本框 4"/>
        <xdr:cNvSpPr txBox="1"/>
      </xdr:nvSpPr>
      <xdr:spPr>
        <a:xfrm>
          <a:off x="6896100" y="573532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27"/>
  <sheetViews>
    <sheetView tabSelected="1" zoomScale="85" zoomScaleNormal="85" workbookViewId="0">
      <selection activeCell="F15" sqref="F15"/>
    </sheetView>
  </sheetViews>
  <sheetFormatPr defaultColWidth="9" defaultRowHeight="20.25" customHeight="1"/>
  <cols>
    <col min="1" max="1" width="17.6666666666667" style="36" customWidth="1"/>
    <col min="2" max="2" width="17.1083333333333" style="36" customWidth="1"/>
    <col min="3" max="3" width="21.4416666666667" style="36" customWidth="1"/>
    <col min="4" max="4" width="18.775" style="36" customWidth="1"/>
    <col min="5" max="5" width="13.2166666666667" style="36" customWidth="1"/>
    <col min="6" max="6" width="33.1083333333333" style="2" customWidth="1"/>
    <col min="7" max="16" width="5.10833333333333" style="2" customWidth="1"/>
    <col min="17" max="19" width="9" style="2"/>
    <col min="20" max="20" width="23.775" style="2" customWidth="1"/>
    <col min="21" max="21" width="34.4416666666667" style="2" customWidth="1"/>
    <col min="22" max="16384" width="9" style="2"/>
  </cols>
  <sheetData>
    <row r="1" customHeight="1" spans="1:28">
      <c r="A1" s="37" t="s">
        <v>0</v>
      </c>
      <c r="B1" s="37"/>
      <c r="C1" s="37"/>
      <c r="D1" s="37"/>
      <c r="E1" s="37"/>
      <c r="F1" s="38" t="s">
        <v>1</v>
      </c>
      <c r="G1" s="39"/>
      <c r="H1" s="39"/>
      <c r="I1" s="39"/>
      <c r="J1" s="39"/>
      <c r="K1" s="39"/>
      <c r="L1" s="39"/>
      <c r="M1" s="39"/>
      <c r="N1" s="39"/>
      <c r="O1" s="39"/>
      <c r="P1" s="106"/>
      <c r="S1" s="116"/>
      <c r="T1" s="116"/>
      <c r="U1" s="116"/>
      <c r="V1" s="117"/>
      <c r="W1" s="117"/>
      <c r="X1" s="84"/>
      <c r="Y1" s="84"/>
      <c r="Z1" s="84"/>
      <c r="AA1" s="84"/>
      <c r="AB1" s="84"/>
    </row>
    <row r="2" s="1" customFormat="1" ht="21" customHeight="1" spans="1:28">
      <c r="A2" s="40" t="s">
        <v>2</v>
      </c>
      <c r="B2" s="41"/>
      <c r="C2" s="42"/>
      <c r="D2" s="42"/>
      <c r="E2" s="43"/>
      <c r="F2" s="44"/>
      <c r="G2" s="39"/>
      <c r="H2" s="45" t="s">
        <v>3</v>
      </c>
      <c r="I2" s="45"/>
      <c r="J2" s="45"/>
      <c r="K2" s="49"/>
      <c r="L2" s="45" t="s">
        <v>4</v>
      </c>
      <c r="M2" s="45"/>
      <c r="N2" s="45"/>
      <c r="O2" s="39"/>
      <c r="P2" s="106"/>
      <c r="R2" s="112"/>
      <c r="S2" s="116"/>
      <c r="T2" s="116" t="s">
        <v>5</v>
      </c>
      <c r="U2" s="116" t="s">
        <v>6</v>
      </c>
      <c r="V2" s="117"/>
      <c r="W2" s="117"/>
      <c r="X2" s="112"/>
      <c r="Y2" s="112"/>
      <c r="Z2" s="112"/>
      <c r="AA2" s="112"/>
      <c r="AB2" s="112"/>
    </row>
    <row r="3" s="1" customFormat="1" ht="21" customHeight="1" spans="1:28">
      <c r="A3" s="40" t="s">
        <v>7</v>
      </c>
      <c r="B3" s="46"/>
      <c r="C3" s="47"/>
      <c r="D3" s="47"/>
      <c r="E3" s="48"/>
      <c r="F3" s="44"/>
      <c r="G3" s="39"/>
      <c r="H3" s="45"/>
      <c r="I3" s="45"/>
      <c r="J3" s="45"/>
      <c r="K3" s="49"/>
      <c r="L3" s="45"/>
      <c r="M3" s="45"/>
      <c r="N3" s="45"/>
      <c r="O3" s="39"/>
      <c r="P3" s="106"/>
      <c r="R3" s="112"/>
      <c r="S3" s="116"/>
      <c r="T3" s="116" t="s">
        <v>8</v>
      </c>
      <c r="U3" s="116" t="s">
        <v>9</v>
      </c>
      <c r="V3" s="117"/>
      <c r="W3" s="117"/>
      <c r="X3" s="112"/>
      <c r="Y3" s="112"/>
      <c r="Z3" s="112"/>
      <c r="AA3" s="112"/>
      <c r="AB3" s="112"/>
    </row>
    <row r="4" s="1" customFormat="1" ht="21" customHeight="1" spans="1:28">
      <c r="A4" s="40" t="s">
        <v>10</v>
      </c>
      <c r="B4" s="46"/>
      <c r="C4" s="47"/>
      <c r="D4" s="47"/>
      <c r="E4" s="48"/>
      <c r="F4" s="44"/>
      <c r="G4" s="39"/>
      <c r="H4" s="49"/>
      <c r="I4" s="49"/>
      <c r="J4" s="49"/>
      <c r="K4" s="49"/>
      <c r="L4" s="49"/>
      <c r="M4" s="107"/>
      <c r="N4" s="107"/>
      <c r="O4" s="39"/>
      <c r="P4" s="106"/>
      <c r="R4" s="112"/>
      <c r="S4" s="116"/>
      <c r="T4" s="116" t="s">
        <v>11</v>
      </c>
      <c r="U4" s="116" t="s">
        <v>12</v>
      </c>
      <c r="V4" s="117"/>
      <c r="W4" s="117"/>
      <c r="X4" s="112"/>
      <c r="Y4" s="112"/>
      <c r="Z4" s="112"/>
      <c r="AA4" s="112"/>
      <c r="AB4" s="112"/>
    </row>
    <row r="5" s="1" customFormat="1" ht="21" customHeight="1" spans="1:28">
      <c r="A5" s="40" t="s">
        <v>13</v>
      </c>
      <c r="B5" s="46"/>
      <c r="C5" s="47"/>
      <c r="D5" s="47"/>
      <c r="E5" s="48"/>
      <c r="F5" s="44"/>
      <c r="G5" s="39"/>
      <c r="H5" s="45" t="s">
        <v>14</v>
      </c>
      <c r="I5" s="45"/>
      <c r="J5" s="45"/>
      <c r="K5" s="49"/>
      <c r="L5" s="45" t="s">
        <v>15</v>
      </c>
      <c r="M5" s="45"/>
      <c r="N5" s="45"/>
      <c r="O5" s="39"/>
      <c r="P5" s="106"/>
      <c r="R5" s="112"/>
      <c r="S5" s="116"/>
      <c r="T5" s="116" t="s">
        <v>16</v>
      </c>
      <c r="U5" s="116" t="s">
        <v>17</v>
      </c>
      <c r="V5" s="117"/>
      <c r="W5" s="117"/>
      <c r="X5" s="112"/>
      <c r="Y5" s="112"/>
      <c r="Z5" s="112"/>
      <c r="AA5" s="112"/>
      <c r="AB5" s="112"/>
    </row>
    <row r="6" s="1" customFormat="1" ht="21" customHeight="1" spans="1:28">
      <c r="A6" s="40" t="s">
        <v>18</v>
      </c>
      <c r="B6" s="50"/>
      <c r="C6" s="51"/>
      <c r="D6" s="51"/>
      <c r="E6" s="52"/>
      <c r="F6" s="53"/>
      <c r="G6" s="39"/>
      <c r="H6" s="45"/>
      <c r="I6" s="45"/>
      <c r="J6" s="45"/>
      <c r="K6" s="49"/>
      <c r="L6" s="45"/>
      <c r="M6" s="45"/>
      <c r="N6" s="45"/>
      <c r="O6" s="39"/>
      <c r="P6" s="106"/>
      <c r="R6" s="112"/>
      <c r="S6" s="116"/>
      <c r="T6" s="116" t="s">
        <v>19</v>
      </c>
      <c r="U6" s="116" t="s">
        <v>20</v>
      </c>
      <c r="V6" s="117"/>
      <c r="W6" s="117"/>
      <c r="X6" s="112"/>
      <c r="Y6" s="112"/>
      <c r="Z6" s="112"/>
      <c r="AA6" s="112"/>
      <c r="AB6" s="112"/>
    </row>
    <row r="7" s="1" customFormat="1" ht="41" customHeight="1" spans="1:28">
      <c r="A7" s="40" t="s">
        <v>21</v>
      </c>
      <c r="B7" s="50"/>
      <c r="C7" s="51"/>
      <c r="D7" s="51"/>
      <c r="E7" s="52"/>
      <c r="F7" s="53"/>
      <c r="G7" s="39"/>
      <c r="H7" s="45"/>
      <c r="I7" s="45"/>
      <c r="J7" s="45"/>
      <c r="K7" s="49"/>
      <c r="L7" s="45"/>
      <c r="M7" s="45"/>
      <c r="N7" s="45"/>
      <c r="O7" s="39"/>
      <c r="P7" s="106"/>
      <c r="R7" s="112"/>
      <c r="S7" s="116"/>
      <c r="T7" s="116" t="s">
        <v>22</v>
      </c>
      <c r="U7" s="116" t="s">
        <v>23</v>
      </c>
      <c r="V7" s="117"/>
      <c r="W7" s="117"/>
      <c r="X7" s="112"/>
      <c r="Y7" s="112"/>
      <c r="Z7" s="112"/>
      <c r="AA7" s="112"/>
      <c r="AB7" s="112"/>
    </row>
    <row r="8" s="1" customFormat="1" ht="21.75" customHeight="1" spans="1:28">
      <c r="A8" s="40" t="s">
        <v>24</v>
      </c>
      <c r="B8" s="54"/>
      <c r="C8" s="55" t="s">
        <v>25</v>
      </c>
      <c r="D8" s="56"/>
      <c r="E8" s="56"/>
      <c r="F8" s="53"/>
      <c r="G8" s="39"/>
      <c r="H8" s="57"/>
      <c r="I8" s="57"/>
      <c r="J8" s="57"/>
      <c r="K8" s="108"/>
      <c r="L8" s="57"/>
      <c r="M8" s="57"/>
      <c r="N8" s="57"/>
      <c r="O8" s="39"/>
      <c r="P8" s="106"/>
      <c r="R8" s="112"/>
      <c r="S8" s="117"/>
      <c r="T8" s="117"/>
      <c r="U8" s="117"/>
      <c r="V8" s="117"/>
      <c r="W8" s="117"/>
      <c r="X8" s="112"/>
      <c r="Y8" s="112"/>
      <c r="Z8" s="112"/>
      <c r="AA8" s="112"/>
      <c r="AB8" s="112"/>
    </row>
    <row r="9" s="1" customFormat="1" ht="21.75" customHeight="1" spans="1:28">
      <c r="A9" s="40" t="s">
        <v>26</v>
      </c>
      <c r="B9" s="58"/>
      <c r="C9" s="59"/>
      <c r="D9" s="59"/>
      <c r="E9" s="60"/>
      <c r="F9" s="61"/>
      <c r="G9" s="2"/>
      <c r="H9" s="2"/>
      <c r="I9" s="109" t="s">
        <v>27</v>
      </c>
      <c r="J9" s="110"/>
      <c r="K9" s="61"/>
      <c r="L9" s="61"/>
      <c r="M9" s="2"/>
      <c r="N9" s="2"/>
      <c r="O9" s="2"/>
      <c r="P9" s="61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</row>
    <row r="10" s="1" customFormat="1" ht="21.75" customHeight="1" spans="1:28">
      <c r="A10" s="40" t="s">
        <v>28</v>
      </c>
      <c r="B10" s="62"/>
      <c r="C10" s="63"/>
      <c r="D10" s="63"/>
      <c r="E10" s="64"/>
      <c r="F10" s="65"/>
      <c r="G10" s="61"/>
      <c r="H10" s="2"/>
      <c r="I10" s="111"/>
      <c r="J10" s="112" t="s">
        <v>29</v>
      </c>
      <c r="K10" s="61"/>
      <c r="L10" s="61"/>
      <c r="M10" s="61"/>
      <c r="N10" s="61"/>
      <c r="O10" s="61"/>
      <c r="P10" s="61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</row>
    <row r="11" s="1" customFormat="1" ht="21.75" customHeight="1" spans="1:28">
      <c r="A11" s="40" t="s">
        <v>30</v>
      </c>
      <c r="B11" s="66"/>
      <c r="C11" s="67"/>
      <c r="D11" s="67"/>
      <c r="E11" s="68"/>
      <c r="F11" s="65"/>
      <c r="G11" s="61"/>
      <c r="H11" s="2"/>
      <c r="I11" s="113"/>
      <c r="J11" s="112" t="s">
        <v>31</v>
      </c>
      <c r="K11" s="2"/>
      <c r="L11" s="2"/>
      <c r="M11" s="61"/>
      <c r="N11" s="61"/>
      <c r="O11" s="61"/>
      <c r="P11" s="61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</row>
    <row r="12" s="1" customFormat="1" ht="21.75" customHeight="1" spans="1:28">
      <c r="A12" s="40" t="s">
        <v>32</v>
      </c>
      <c r="B12" s="66" t="str">
        <f>IFERROR(VLOOKUP(B11,T2:U7,2,),"")</f>
        <v/>
      </c>
      <c r="C12" s="67"/>
      <c r="D12" s="67"/>
      <c r="E12" s="68"/>
      <c r="F12" s="69" t="s">
        <v>33</v>
      </c>
      <c r="G12" s="61"/>
      <c r="H12" s="2"/>
      <c r="I12" s="114"/>
      <c r="J12" s="112" t="s">
        <v>34</v>
      </c>
      <c r="K12" s="2"/>
      <c r="L12" s="2"/>
      <c r="M12" s="61"/>
      <c r="N12" s="61"/>
      <c r="O12" s="61"/>
      <c r="P12" s="61"/>
      <c r="U12" s="112"/>
      <c r="V12" s="112"/>
      <c r="W12" s="112"/>
      <c r="X12" s="112"/>
      <c r="Y12" s="112"/>
      <c r="Z12" s="112"/>
      <c r="AA12" s="112"/>
      <c r="AB12" s="112"/>
    </row>
    <row r="13" s="1" customFormat="1" ht="21.75" customHeight="1" spans="1:28">
      <c r="A13" s="40" t="s">
        <v>35</v>
      </c>
      <c r="B13" s="62"/>
      <c r="C13" s="70"/>
      <c r="D13" s="70"/>
      <c r="E13" s="71"/>
      <c r="F13" s="69" t="s">
        <v>36</v>
      </c>
      <c r="G13" s="61"/>
      <c r="H13" s="2"/>
      <c r="I13" s="115"/>
      <c r="J13" s="112"/>
      <c r="K13" s="2"/>
      <c r="L13" s="2"/>
      <c r="M13" s="61"/>
      <c r="N13" s="61"/>
      <c r="O13" s="61"/>
      <c r="P13" s="61"/>
      <c r="U13" s="112"/>
      <c r="V13" s="112"/>
      <c r="W13" s="112"/>
      <c r="X13" s="112"/>
      <c r="Y13" s="112"/>
      <c r="Z13" s="112"/>
      <c r="AA13" s="112"/>
      <c r="AB13" s="112"/>
    </row>
    <row r="14" s="1" customFormat="1" ht="21.75" customHeight="1" spans="1:28">
      <c r="A14" s="40" t="s">
        <v>37</v>
      </c>
      <c r="B14" s="62"/>
      <c r="C14" s="70"/>
      <c r="D14" s="70"/>
      <c r="E14" s="71"/>
      <c r="F14" s="69"/>
      <c r="G14" s="61"/>
      <c r="H14" s="2"/>
      <c r="I14" s="115"/>
      <c r="J14" s="112"/>
      <c r="K14" s="2"/>
      <c r="L14" s="2"/>
      <c r="M14" s="61"/>
      <c r="N14" s="61"/>
      <c r="O14" s="61"/>
      <c r="P14" s="61"/>
      <c r="U14" s="112"/>
      <c r="V14" s="112"/>
      <c r="W14" s="112"/>
      <c r="X14" s="112"/>
      <c r="Y14" s="112"/>
      <c r="Z14" s="112"/>
      <c r="AA14" s="112"/>
      <c r="AB14" s="112"/>
    </row>
    <row r="15" ht="21.75" customHeight="1" spans="1:28">
      <c r="A15" s="72" t="s">
        <v>38</v>
      </c>
      <c r="B15" s="73"/>
      <c r="C15" s="74"/>
      <c r="D15" s="74"/>
      <c r="E15" s="75"/>
      <c r="F15" s="69" t="s">
        <v>39</v>
      </c>
      <c r="G15" s="61"/>
      <c r="I15" s="115"/>
      <c r="J15" s="112"/>
      <c r="M15" s="61"/>
      <c r="N15" s="61"/>
      <c r="O15" s="61"/>
      <c r="P15" s="61"/>
      <c r="U15" s="84"/>
      <c r="V15" s="84"/>
      <c r="W15" s="84"/>
      <c r="X15" s="84"/>
      <c r="Y15" s="84"/>
      <c r="Z15" s="84"/>
      <c r="AA15" s="84"/>
      <c r="AB15" s="84"/>
    </row>
    <row r="16" ht="26.25" customHeight="1" spans="1:16">
      <c r="A16" s="76" t="s">
        <v>40</v>
      </c>
      <c r="B16" s="77" t="s">
        <v>41</v>
      </c>
      <c r="C16" s="78"/>
      <c r="D16" s="72" t="s">
        <v>42</v>
      </c>
      <c r="E16" s="5"/>
      <c r="F16" s="79" t="s">
        <v>43</v>
      </c>
      <c r="G16" s="80"/>
      <c r="H16" s="35"/>
      <c r="I16" s="35"/>
      <c r="J16" s="35"/>
      <c r="K16" s="35"/>
      <c r="L16" s="80"/>
      <c r="M16" s="80"/>
      <c r="N16" s="80"/>
      <c r="O16" s="80"/>
      <c r="P16" s="80"/>
    </row>
    <row r="17" ht="26.25" customHeight="1" spans="1:6">
      <c r="A17" s="81"/>
      <c r="B17" s="77" t="s">
        <v>44</v>
      </c>
      <c r="C17" s="5"/>
      <c r="D17" s="72" t="s">
        <v>45</v>
      </c>
      <c r="E17" s="5"/>
      <c r="F17" s="82" t="s">
        <v>46</v>
      </c>
    </row>
    <row r="18" ht="26.25" customHeight="1" spans="1:6">
      <c r="A18" s="81"/>
      <c r="B18" s="72" t="s">
        <v>47</v>
      </c>
      <c r="C18" s="83"/>
      <c r="D18" s="72" t="s">
        <v>48</v>
      </c>
      <c r="E18" s="83"/>
      <c r="F18" s="84"/>
    </row>
    <row r="19" ht="26.25" customHeight="1" spans="1:6">
      <c r="A19" s="85"/>
      <c r="B19" s="77" t="s">
        <v>49</v>
      </c>
      <c r="C19" s="86"/>
      <c r="D19" s="87"/>
      <c r="E19" s="88"/>
      <c r="F19" s="84"/>
    </row>
    <row r="20" ht="45" customHeight="1" spans="1:6">
      <c r="A20" s="89" t="s">
        <v>50</v>
      </c>
      <c r="B20" s="90" t="s">
        <v>51</v>
      </c>
      <c r="C20" s="91"/>
      <c r="D20" s="91" t="s">
        <v>52</v>
      </c>
      <c r="E20" s="92"/>
      <c r="F20" s="84"/>
    </row>
    <row r="21" s="35" customFormat="1" ht="26.25" customHeight="1" spans="1:16">
      <c r="A21" s="93"/>
      <c r="B21" s="91" t="s">
        <v>53</v>
      </c>
      <c r="C21" s="94"/>
      <c r="D21" s="91" t="s">
        <v>54</v>
      </c>
      <c r="E21" s="92"/>
      <c r="F21" s="84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5" customFormat="1" ht="26.25" customHeight="1" spans="1:16">
      <c r="A22" s="95" t="s">
        <v>55</v>
      </c>
      <c r="B22" s="96">
        <v>0</v>
      </c>
      <c r="C22" s="97"/>
      <c r="D22" s="97"/>
      <c r="E22" s="98" t="str">
        <f>IF(B22=0,"ND",B22)</f>
        <v>ND</v>
      </c>
      <c r="F22" s="84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6.25" customHeight="1" spans="1:6">
      <c r="A23" s="99" t="s">
        <v>56</v>
      </c>
      <c r="B23" s="100" t="s">
        <v>57</v>
      </c>
      <c r="C23" s="101"/>
      <c r="D23" s="101"/>
      <c r="E23" s="102"/>
      <c r="F23" s="84"/>
    </row>
    <row r="24" customHeight="1" spans="1:5">
      <c r="A24" s="103" t="s">
        <v>58</v>
      </c>
      <c r="B24" s="104"/>
      <c r="C24" s="104"/>
      <c r="D24" s="104"/>
      <c r="E24" s="105"/>
    </row>
    <row r="25" customHeight="1" spans="1:5">
      <c r="A25" s="40" t="s">
        <v>59</v>
      </c>
      <c r="B25" s="3"/>
      <c r="C25" s="3"/>
      <c r="D25" s="3"/>
      <c r="E25" s="3"/>
    </row>
    <row r="26" customHeight="1" spans="1:5">
      <c r="A26" s="40" t="s">
        <v>60</v>
      </c>
      <c r="B26" s="3"/>
      <c r="C26" s="3"/>
      <c r="D26" s="3"/>
      <c r="E26" s="3"/>
    </row>
    <row r="27" customHeight="1" spans="1:5">
      <c r="A27" s="40" t="s">
        <v>61</v>
      </c>
      <c r="B27" s="3"/>
      <c r="C27" s="3"/>
      <c r="D27" s="3"/>
      <c r="E27" s="3"/>
    </row>
  </sheetData>
  <sheetProtection formatCells="0" formatColumns="0" formatRows="0" sort="0" autoFilter="0" pivotTables="0"/>
  <mergeCells count="28">
    <mergeCell ref="A1:E1"/>
    <mergeCell ref="B2:E2"/>
    <mergeCell ref="B3:E3"/>
    <mergeCell ref="B4:E4"/>
    <mergeCell ref="B5:E5"/>
    <mergeCell ref="B6:E6"/>
    <mergeCell ref="B7:E7"/>
    <mergeCell ref="D8:E8"/>
    <mergeCell ref="B9:E9"/>
    <mergeCell ref="B10:E10"/>
    <mergeCell ref="B11:E11"/>
    <mergeCell ref="B12:E12"/>
    <mergeCell ref="B13:E13"/>
    <mergeCell ref="B14:E14"/>
    <mergeCell ref="B15:E15"/>
    <mergeCell ref="C19:E19"/>
    <mergeCell ref="B22:D22"/>
    <mergeCell ref="B23:E23"/>
    <mergeCell ref="A24:E24"/>
    <mergeCell ref="B25:E25"/>
    <mergeCell ref="B26:E26"/>
    <mergeCell ref="B27:E27"/>
    <mergeCell ref="A16:A19"/>
    <mergeCell ref="A20:A21"/>
    <mergeCell ref="L2:N3"/>
    <mergeCell ref="H5:J7"/>
    <mergeCell ref="L5:N7"/>
    <mergeCell ref="H2:J3"/>
  </mergeCells>
  <dataValidations count="3">
    <dataValidation type="list" allowBlank="1" showInputMessage="1" sqref="B11:E11">
      <formula1>$T$2:$T$7</formula1>
    </dataValidation>
    <dataValidation type="list" allowBlank="1" showInputMessage="1" sqref="C16">
      <formula1>$F$12:$F$15</formula1>
    </dataValidation>
    <dataValidation type="list" allowBlank="1" showInputMessage="1" sqref="C17">
      <formula1>$F$16:$F$17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H547"/>
  <sheetViews>
    <sheetView workbookViewId="0">
      <selection activeCell="C9" sqref="C9"/>
    </sheetView>
  </sheetViews>
  <sheetFormatPr defaultColWidth="9" defaultRowHeight="15"/>
  <cols>
    <col min="1" max="1" width="9" style="2"/>
    <col min="2" max="4" width="15.1083333333333" style="3" customWidth="1"/>
    <col min="5" max="5" width="12.4416666666667" style="4" customWidth="1"/>
    <col min="6" max="6" width="12.1083333333333" style="4" customWidth="1"/>
    <col min="7" max="7" width="15.1083333333333" style="5" customWidth="1"/>
    <col min="8" max="8" width="12.4416666666667" style="4" customWidth="1"/>
    <col min="9" max="9" width="12.4416666666667" style="6" customWidth="1"/>
    <col min="10" max="15" width="11.3333333333333" style="7" customWidth="1"/>
    <col min="16" max="16" width="12.4416666666667" style="4" customWidth="1"/>
    <col min="17" max="16384" width="9" style="2"/>
  </cols>
  <sheetData>
    <row r="1" ht="20.25" customHeight="1" spans="1:16">
      <c r="A1" s="8" t="s">
        <v>62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="1" customFormat="1" ht="18.9" customHeight="1" spans="1:34">
      <c r="A2" s="10" t="s">
        <v>63</v>
      </c>
      <c r="B2" s="10" t="s">
        <v>64</v>
      </c>
      <c r="C2" s="11" t="s">
        <v>65</v>
      </c>
      <c r="D2" s="10" t="s">
        <v>66</v>
      </c>
      <c r="E2" s="12" t="s">
        <v>67</v>
      </c>
      <c r="F2" s="12"/>
      <c r="G2" s="12"/>
      <c r="H2" s="12" t="s">
        <v>68</v>
      </c>
      <c r="I2" s="12"/>
      <c r="J2" s="18" t="s">
        <v>69</v>
      </c>
      <c r="K2" s="19"/>
      <c r="L2" s="19"/>
      <c r="M2" s="19"/>
      <c r="N2" s="20"/>
      <c r="O2" s="21" t="s">
        <v>70</v>
      </c>
      <c r="P2" s="21" t="s">
        <v>71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="1" customFormat="1" ht="21" customHeight="1" spans="1:34">
      <c r="A3" s="13"/>
      <c r="B3" s="13"/>
      <c r="C3" s="14"/>
      <c r="D3" s="13"/>
      <c r="E3" s="12" t="s">
        <v>72</v>
      </c>
      <c r="F3" s="12"/>
      <c r="G3" s="15" t="s">
        <v>73</v>
      </c>
      <c r="H3" s="12" t="s">
        <v>74</v>
      </c>
      <c r="I3" s="22" t="s">
        <v>75</v>
      </c>
      <c r="J3" s="23" t="s">
        <v>76</v>
      </c>
      <c r="K3" s="24" t="s">
        <v>77</v>
      </c>
      <c r="L3" s="23" t="s">
        <v>78</v>
      </c>
      <c r="M3" s="23" t="s">
        <v>79</v>
      </c>
      <c r="N3" s="25" t="s">
        <v>80</v>
      </c>
      <c r="O3" s="26"/>
      <c r="P3" s="26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="1" customFormat="1" ht="21" customHeight="1" spans="1:34">
      <c r="A4" s="13"/>
      <c r="B4" s="13"/>
      <c r="C4" s="16"/>
      <c r="D4" s="13"/>
      <c r="E4" s="12" t="s">
        <v>81</v>
      </c>
      <c r="F4" s="12" t="s">
        <v>82</v>
      </c>
      <c r="G4" s="15"/>
      <c r="H4" s="12"/>
      <c r="I4" s="22"/>
      <c r="J4" s="27"/>
      <c r="K4" s="28"/>
      <c r="L4" s="29"/>
      <c r="M4" s="29"/>
      <c r="N4" s="30"/>
      <c r="O4" s="31"/>
      <c r="P4" s="31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ht="20.25" customHeight="1" spans="1:15">
      <c r="A5" s="3"/>
      <c r="G5" s="5" t="str">
        <f>IFERROR(IF(ISBLANK(H5),"",IF(I5="ND","否","是")),"")</f>
        <v/>
      </c>
      <c r="I5" s="32" t="str">
        <f>IFERROR(IF(H5="ND","ND",XiuYue(((H5-基础页!$B$22)*基础页!$B$15/(C5*(1-O5%))),3,-1,9999)),"")</f>
        <v/>
      </c>
      <c r="O5" s="33"/>
    </row>
    <row r="6" ht="20.25" customHeight="1" spans="1:15">
      <c r="A6" s="3"/>
      <c r="G6" s="5" t="str">
        <f t="shared" ref="G6:G69" si="0">IFERROR(IF(ISBLANK(H6),"",IF(I6="ND","否","是")),"")</f>
        <v/>
      </c>
      <c r="I6" s="32" t="str">
        <f>IFERROR(IF(H6="ND","ND",XiuYue(((H6-基础页!$B$22)*基础页!$B$15/(C6*(1-O6%))),3,-1,9999)),"")</f>
        <v/>
      </c>
      <c r="O6" s="4"/>
    </row>
    <row r="7" ht="20.25" customHeight="1" spans="1:15">
      <c r="A7" s="3"/>
      <c r="G7" s="5" t="str">
        <f t="shared" si="0"/>
        <v/>
      </c>
      <c r="I7" s="32" t="str">
        <f>IFERROR(IF(H7="ND","ND",XiuYue(((H7-基础页!$B$22)*基础页!$B$15/(C7*(1-O7%))),3,-1,9999)),"")</f>
        <v/>
      </c>
      <c r="O7" s="4"/>
    </row>
    <row r="8" ht="20.25" customHeight="1" spans="1:15">
      <c r="A8" s="3"/>
      <c r="G8" s="5" t="str">
        <f t="shared" si="0"/>
        <v/>
      </c>
      <c r="I8" s="32" t="str">
        <f>IFERROR(IF(H8="ND","ND",XiuYue(((H8-基础页!$B$22)*基础页!$B$15/(C8*(1-O8%))),3,-1,9999)),"")</f>
        <v/>
      </c>
      <c r="O8" s="4"/>
    </row>
    <row r="9" ht="20.25" customHeight="1" spans="1:15">
      <c r="A9" s="3"/>
      <c r="C9" s="17"/>
      <c r="G9" s="5" t="str">
        <f t="shared" si="0"/>
        <v/>
      </c>
      <c r="I9" s="32" t="str">
        <f>IFERROR(IF(H9="ND","ND",XiuYue(((H9-基础页!$B$22)*基础页!$B$15/(C9*(1-O9%))),3,-1,9999)),"")</f>
        <v/>
      </c>
      <c r="J9" s="34"/>
      <c r="O9" s="4"/>
    </row>
    <row r="10" ht="20.25" customHeight="1" spans="1:15">
      <c r="A10" s="3"/>
      <c r="G10" s="5" t="str">
        <f t="shared" si="0"/>
        <v/>
      </c>
      <c r="I10" s="32" t="str">
        <f>IFERROR(IF(H10="ND","ND",XiuYue(((H10-基础页!$B$22)*基础页!$B$15/(C10*(1-O10%))),3,-1,9999)),"")</f>
        <v/>
      </c>
      <c r="J10" s="34"/>
      <c r="O10" s="4"/>
    </row>
    <row r="11" ht="20.25" customHeight="1" spans="1:15">
      <c r="A11" s="3"/>
      <c r="G11" s="5" t="str">
        <f t="shared" si="0"/>
        <v/>
      </c>
      <c r="I11" s="32" t="str">
        <f>IFERROR(IF(H11="ND","ND",XiuYue(((H11-基础页!$B$22)*基础页!$B$15/(C11*(1-O11%))),3,-1,9999)),"")</f>
        <v/>
      </c>
      <c r="J11" s="34"/>
      <c r="O11" s="4"/>
    </row>
    <row r="12" ht="20.25" customHeight="1" spans="1:15">
      <c r="A12" s="3"/>
      <c r="G12" s="5" t="str">
        <f t="shared" si="0"/>
        <v/>
      </c>
      <c r="I12" s="32" t="str">
        <f>IFERROR(IF(H12="ND","ND",XiuYue(((H12-基础页!$B$22)*基础页!$B$15/(C12*(1-O12%))),3,-1,9999)),"")</f>
        <v/>
      </c>
      <c r="J12" s="34"/>
      <c r="O12" s="4"/>
    </row>
    <row r="13" ht="20.25" customHeight="1" spans="1:15">
      <c r="A13" s="3"/>
      <c r="G13" s="5" t="str">
        <f t="shared" si="0"/>
        <v/>
      </c>
      <c r="I13" s="32" t="str">
        <f>IFERROR(IF(H13="ND","ND",XiuYue(((H13-基础页!$B$22)*基础页!$B$15/(C13*(1-O13%))),3,-1,9999)),"")</f>
        <v/>
      </c>
      <c r="O13" s="4"/>
    </row>
    <row r="14" ht="20.25" customHeight="1" spans="1:15">
      <c r="A14" s="3"/>
      <c r="G14" s="5" t="str">
        <f t="shared" si="0"/>
        <v/>
      </c>
      <c r="I14" s="32" t="str">
        <f>IFERROR(IF(H14="ND","ND",XiuYue(((H14-基础页!$B$22)*基础页!$B$15/(C14*(1-O14%))),3,-1,9999)),"")</f>
        <v/>
      </c>
      <c r="O14" s="4"/>
    </row>
    <row r="15" ht="20.25" customHeight="1" spans="1:15">
      <c r="A15" s="3"/>
      <c r="G15" s="5" t="str">
        <f t="shared" si="0"/>
        <v/>
      </c>
      <c r="I15" s="32" t="str">
        <f>IFERROR(IF(H15="ND","ND",XiuYue(((H15-基础页!$B$22)*基础页!$B$15/(C15*(1-O15%))),3,-1,9999)),"")</f>
        <v/>
      </c>
      <c r="O15" s="4"/>
    </row>
    <row r="16" ht="20.25" customHeight="1" spans="1:15">
      <c r="A16" s="3"/>
      <c r="G16" s="5" t="str">
        <f t="shared" si="0"/>
        <v/>
      </c>
      <c r="I16" s="32" t="str">
        <f>IFERROR(IF(H16="ND","ND",XiuYue(((H16-基础页!$B$22)*基础页!$B$15/(C16*(1-O16%))),3,-1,9999)),"")</f>
        <v/>
      </c>
      <c r="O16" s="4"/>
    </row>
    <row r="17" ht="20.25" customHeight="1" spans="1:15">
      <c r="A17" s="3"/>
      <c r="G17" s="5" t="str">
        <f t="shared" si="0"/>
        <v/>
      </c>
      <c r="I17" s="32" t="str">
        <f>IFERROR(IF(H17="ND","ND",XiuYue(((H17-基础页!$B$22)*基础页!$B$15/(C17*(1-O17%))),3,-1,9999)),"")</f>
        <v/>
      </c>
      <c r="O17" s="4"/>
    </row>
    <row r="18" ht="20.25" customHeight="1" spans="1:15">
      <c r="A18" s="3"/>
      <c r="G18" s="5" t="str">
        <f t="shared" si="0"/>
        <v/>
      </c>
      <c r="I18" s="32" t="str">
        <f>IFERROR(IF(H18="ND","ND",XiuYue(((H18-基础页!$B$22)*基础页!$B$15/(C18*(1-O18%))),3,-1,9999)),"")</f>
        <v/>
      </c>
      <c r="O18" s="4"/>
    </row>
    <row r="19" ht="20.25" customHeight="1" spans="1:15">
      <c r="A19" s="3"/>
      <c r="G19" s="5" t="str">
        <f t="shared" si="0"/>
        <v/>
      </c>
      <c r="I19" s="32" t="str">
        <f>IFERROR(IF(H19="ND","ND",XiuYue(((H19-基础页!$B$22)*基础页!$B$15/(C19*(1-O19%))),3,-1,9999)),"")</f>
        <v/>
      </c>
      <c r="O19" s="4"/>
    </row>
    <row r="20" ht="20.25" customHeight="1" spans="1:15">
      <c r="A20" s="3"/>
      <c r="G20" s="5" t="str">
        <f t="shared" si="0"/>
        <v/>
      </c>
      <c r="I20" s="32" t="str">
        <f>IFERROR(IF(H20="ND","ND",XiuYue(((H20-基础页!$B$22)*基础页!$B$15/(C20*(1-O20%))),3,-1,9999)),"")</f>
        <v/>
      </c>
      <c r="O20" s="4"/>
    </row>
    <row r="21" ht="20.25" customHeight="1" spans="1:15">
      <c r="A21" s="3"/>
      <c r="G21" s="5" t="str">
        <f t="shared" si="0"/>
        <v/>
      </c>
      <c r="I21" s="32" t="str">
        <f>IFERROR(IF(H21="ND","ND",XiuYue(((H21-基础页!$B$22)*基础页!$B$15/(C21*(1-O21%))),3,-1,9999)),"")</f>
        <v/>
      </c>
      <c r="O21" s="4"/>
    </row>
    <row r="22" ht="20.25" customHeight="1" spans="1:15">
      <c r="A22" s="3"/>
      <c r="G22" s="5" t="str">
        <f t="shared" si="0"/>
        <v/>
      </c>
      <c r="I22" s="32" t="str">
        <f>IFERROR(IF(H22="ND","ND",XiuYue(((H22-基础页!$B$22)*基础页!$B$15/(C22*(1-O22%))),3,-1,9999)),"")</f>
        <v/>
      </c>
      <c r="O22" s="4"/>
    </row>
    <row r="23" ht="20.25" customHeight="1" spans="1:15">
      <c r="A23" s="3"/>
      <c r="G23" s="5" t="str">
        <f t="shared" si="0"/>
        <v/>
      </c>
      <c r="I23" s="32" t="str">
        <f>IFERROR(IF(H23="ND","ND",XiuYue(((H23-基础页!$B$22)*基础页!$B$15/(C23*(1-O23%))),3,-1,9999)),"")</f>
        <v/>
      </c>
      <c r="O23" s="4"/>
    </row>
    <row r="24" ht="20.25" customHeight="1" spans="1:15">
      <c r="A24" s="3"/>
      <c r="G24" s="5" t="str">
        <f t="shared" si="0"/>
        <v/>
      </c>
      <c r="I24" s="32" t="str">
        <f>IFERROR(IF(H24="ND","ND",XiuYue(((H24-基础页!$B$22)*基础页!$B$15/(C24*(1-O24%))),3,-1,9999)),"")</f>
        <v/>
      </c>
      <c r="O24" s="4"/>
    </row>
    <row r="25" ht="20.25" customHeight="1" spans="1:15">
      <c r="A25" s="3"/>
      <c r="G25" s="5" t="str">
        <f t="shared" si="0"/>
        <v/>
      </c>
      <c r="I25" s="32" t="str">
        <f>IFERROR(IF(H25="ND","ND",XiuYue(((H25-基础页!$B$22)*基础页!$B$15/(C25*(1-O25%))),3,-1,9999)),"")</f>
        <v/>
      </c>
      <c r="O25" s="4"/>
    </row>
    <row r="26" ht="20.25" customHeight="1" spans="1:15">
      <c r="A26" s="3"/>
      <c r="G26" s="5" t="str">
        <f t="shared" si="0"/>
        <v/>
      </c>
      <c r="I26" s="32" t="str">
        <f>IFERROR(IF(H26="ND","ND",XiuYue(((H26-基础页!$B$22)*基础页!$B$15/(C26*(1-O26%))),3,-1,9999)),"")</f>
        <v/>
      </c>
      <c r="O26" s="4"/>
    </row>
    <row r="27" ht="20.25" customHeight="1" spans="1:15">
      <c r="A27" s="3"/>
      <c r="G27" s="5" t="str">
        <f t="shared" si="0"/>
        <v/>
      </c>
      <c r="I27" s="32" t="str">
        <f>IFERROR(IF(H27="ND","ND",XiuYue(((H27-基础页!$B$22)*基础页!$B$15/(C27*(1-O27%))),3,-1,9999)),"")</f>
        <v/>
      </c>
      <c r="O27" s="4"/>
    </row>
    <row r="28" ht="20.25" customHeight="1" spans="1:15">
      <c r="A28" s="3"/>
      <c r="G28" s="5" t="str">
        <f t="shared" si="0"/>
        <v/>
      </c>
      <c r="I28" s="32" t="str">
        <f>IFERROR(IF(H28="ND","ND",XiuYue(((H28-基础页!$B$22)*基础页!$B$15/(C28*(1-O28%))),3,-1,9999)),"")</f>
        <v/>
      </c>
      <c r="O28" s="4"/>
    </row>
    <row r="29" ht="20.25" customHeight="1" spans="1:15">
      <c r="A29" s="3"/>
      <c r="G29" s="5" t="str">
        <f t="shared" si="0"/>
        <v/>
      </c>
      <c r="I29" s="32" t="str">
        <f>IFERROR(IF(H29="ND","ND",XiuYue(((H29-基础页!$B$22)*基础页!$B$15/(C29*(1-O29%))),3,-1,9999)),"")</f>
        <v/>
      </c>
      <c r="O29" s="4"/>
    </row>
    <row r="30" ht="20.25" customHeight="1" spans="1:15">
      <c r="A30" s="3"/>
      <c r="G30" s="5" t="str">
        <f t="shared" si="0"/>
        <v/>
      </c>
      <c r="I30" s="32" t="str">
        <f>IFERROR(IF(H30="ND","ND",XiuYue(((H30-基础页!$B$22)*基础页!$B$15/(C30*(1-O30%))),3,-1,9999)),"")</f>
        <v/>
      </c>
      <c r="O30" s="4"/>
    </row>
    <row r="31" ht="20.25" customHeight="1" spans="1:15">
      <c r="A31" s="3"/>
      <c r="G31" s="5" t="str">
        <f t="shared" si="0"/>
        <v/>
      </c>
      <c r="I31" s="32" t="str">
        <f>IFERROR(IF(H31="ND","ND",XiuYue(((H31-基础页!$B$22)*基础页!$B$15/(C31*(1-O31%))),3,-1,9999)),"")</f>
        <v/>
      </c>
      <c r="O31" s="4"/>
    </row>
    <row r="32" ht="20.25" customHeight="1" spans="1:15">
      <c r="A32" s="3"/>
      <c r="G32" s="5" t="str">
        <f t="shared" si="0"/>
        <v/>
      </c>
      <c r="I32" s="32" t="str">
        <f>IFERROR(IF(H32="ND","ND",XiuYue(((H32-基础页!$B$22)*基础页!$B$15/(C32*(1-O32%))),3,-1,9999)),"")</f>
        <v/>
      </c>
      <c r="O32" s="4"/>
    </row>
    <row r="33" ht="20.25" customHeight="1" spans="1:15">
      <c r="A33" s="3"/>
      <c r="G33" s="5" t="str">
        <f t="shared" si="0"/>
        <v/>
      </c>
      <c r="I33" s="32" t="str">
        <f>IFERROR(IF(H33="ND","ND",XiuYue(((H33-基础页!$B$22)*基础页!$B$15/(C33*(1-O33%))),3,-1,9999)),"")</f>
        <v/>
      </c>
      <c r="O33" s="4"/>
    </row>
    <row r="34" ht="20.25" customHeight="1" spans="1:15">
      <c r="A34" s="3"/>
      <c r="G34" s="5" t="str">
        <f t="shared" si="0"/>
        <v/>
      </c>
      <c r="I34" s="32" t="str">
        <f>IFERROR(IF(H34="ND","ND",XiuYue(((H34-基础页!$B$22)*基础页!$B$15/(C34*(1-O34%))),3,-1,9999)),"")</f>
        <v/>
      </c>
      <c r="O34" s="4"/>
    </row>
    <row r="35" ht="20.25" customHeight="1" spans="1:15">
      <c r="A35" s="3"/>
      <c r="G35" s="5" t="str">
        <f t="shared" si="0"/>
        <v/>
      </c>
      <c r="I35" s="32" t="str">
        <f>IFERROR(IF(H35="ND","ND",XiuYue(((H35-基础页!$B$22)*基础页!$B$15/(C35*(1-O35%))),3,-1,9999)),"")</f>
        <v/>
      </c>
      <c r="O35" s="4"/>
    </row>
    <row r="36" ht="20.25" customHeight="1" spans="1:15">
      <c r="A36" s="3"/>
      <c r="G36" s="5" t="str">
        <f t="shared" si="0"/>
        <v/>
      </c>
      <c r="I36" s="32" t="str">
        <f>IFERROR(IF(H36="ND","ND",XiuYue(((H36-基础页!$B$22)*基础页!$B$15/(C36*(1-O36%))),3,-1,9999)),"")</f>
        <v/>
      </c>
      <c r="O36" s="4"/>
    </row>
    <row r="37" ht="20.25" customHeight="1" spans="1:15">
      <c r="A37" s="3"/>
      <c r="G37" s="5" t="str">
        <f t="shared" si="0"/>
        <v/>
      </c>
      <c r="I37" s="32" t="str">
        <f>IFERROR(IF(H37="ND","ND",XiuYue(((H37-基础页!$B$22)*基础页!$B$15/(C37*(1-O37%))),3,-1,9999)),"")</f>
        <v/>
      </c>
      <c r="O37" s="4"/>
    </row>
    <row r="38" ht="20.25" customHeight="1" spans="1:15">
      <c r="A38" s="3"/>
      <c r="G38" s="5" t="str">
        <f t="shared" si="0"/>
        <v/>
      </c>
      <c r="I38" s="32" t="str">
        <f>IFERROR(IF(H38="ND","ND",XiuYue(((H38-基础页!$B$22)*基础页!$B$15/(C38*(1-O38%))),3,-1,9999)),"")</f>
        <v/>
      </c>
      <c r="O38" s="4"/>
    </row>
    <row r="39" ht="20.25" customHeight="1" spans="1:15">
      <c r="A39" s="3"/>
      <c r="G39" s="5" t="str">
        <f t="shared" si="0"/>
        <v/>
      </c>
      <c r="I39" s="32" t="str">
        <f>IFERROR(IF(H39="ND","ND",XiuYue(((H39-基础页!$B$22)*基础页!$B$15/(C39*(1-O39%))),3,-1,9999)),"")</f>
        <v/>
      </c>
      <c r="O39" s="4"/>
    </row>
    <row r="40" ht="20.25" customHeight="1" spans="1:15">
      <c r="A40" s="3"/>
      <c r="G40" s="5" t="str">
        <f t="shared" si="0"/>
        <v/>
      </c>
      <c r="I40" s="32" t="str">
        <f>IFERROR(IF(H40="ND","ND",XiuYue(((H40-基础页!$B$22)*基础页!$B$15/(C40*(1-O40%))),3,-1,9999)),"")</f>
        <v/>
      </c>
      <c r="O40" s="4"/>
    </row>
    <row r="41" ht="20.25" customHeight="1" spans="1:15">
      <c r="A41" s="3"/>
      <c r="G41" s="5" t="str">
        <f t="shared" si="0"/>
        <v/>
      </c>
      <c r="I41" s="32" t="str">
        <f>IFERROR(IF(H41="ND","ND",XiuYue(((H41-基础页!$B$22)*基础页!$B$15/(C41*(1-O41%))),3,-1,9999)),"")</f>
        <v/>
      </c>
      <c r="O41" s="4"/>
    </row>
    <row r="42" ht="20.25" customHeight="1" spans="1:15">
      <c r="A42" s="3"/>
      <c r="G42" s="5" t="str">
        <f t="shared" si="0"/>
        <v/>
      </c>
      <c r="I42" s="32" t="str">
        <f>IFERROR(IF(H42="ND","ND",XiuYue(((H42-基础页!$B$22)*基础页!$B$15/(C42*(1-O42%))),3,-1,9999)),"")</f>
        <v/>
      </c>
      <c r="O42" s="4"/>
    </row>
    <row r="43" ht="20.25" customHeight="1" spans="1:15">
      <c r="A43" s="3"/>
      <c r="G43" s="5" t="str">
        <f t="shared" si="0"/>
        <v/>
      </c>
      <c r="I43" s="32" t="str">
        <f>IFERROR(IF(H43="ND","ND",XiuYue(((H43-基础页!$B$22)*基础页!$B$15/(C43*(1-O43%))),3,-1,9999)),"")</f>
        <v/>
      </c>
      <c r="O43" s="4"/>
    </row>
    <row r="44" ht="20.25" customHeight="1" spans="1:15">
      <c r="A44" s="3"/>
      <c r="G44" s="5" t="str">
        <f t="shared" si="0"/>
        <v/>
      </c>
      <c r="I44" s="32" t="str">
        <f>IFERROR(IF(H44="ND","ND",XiuYue(((H44-基础页!$B$22)*基础页!$B$15/(C44*(1-O44%))),3,-1,9999)),"")</f>
        <v/>
      </c>
      <c r="O44" s="4"/>
    </row>
    <row r="45" ht="20.25" customHeight="1" spans="1:15">
      <c r="A45" s="3"/>
      <c r="G45" s="5" t="str">
        <f t="shared" si="0"/>
        <v/>
      </c>
      <c r="I45" s="32" t="str">
        <f>IFERROR(IF(H45="ND","ND",XiuYue(((H45-基础页!$B$22)*基础页!$B$15/(C45*(1-O45%))),3,-1,9999)),"")</f>
        <v/>
      </c>
      <c r="O45" s="4"/>
    </row>
    <row r="46" ht="20.25" customHeight="1" spans="1:15">
      <c r="A46" s="3"/>
      <c r="G46" s="5" t="str">
        <f t="shared" si="0"/>
        <v/>
      </c>
      <c r="I46" s="32" t="str">
        <f>IFERROR(IF(H46="ND","ND",XiuYue(((H46-基础页!$B$22)*基础页!$B$15/(C46*(1-O46%))),3,-1,9999)),"")</f>
        <v/>
      </c>
      <c r="O46" s="4"/>
    </row>
    <row r="47" ht="20.25" customHeight="1" spans="1:15">
      <c r="A47" s="3"/>
      <c r="G47" s="5" t="str">
        <f t="shared" si="0"/>
        <v/>
      </c>
      <c r="I47" s="32" t="str">
        <f>IFERROR(IF(H47="ND","ND",XiuYue(((H47-基础页!$B$22)*基础页!$B$15/(C47*(1-O47%))),3,-1,9999)),"")</f>
        <v/>
      </c>
      <c r="O47" s="4"/>
    </row>
    <row r="48" ht="20.25" customHeight="1" spans="1:15">
      <c r="A48" s="3"/>
      <c r="G48" s="5" t="str">
        <f t="shared" si="0"/>
        <v/>
      </c>
      <c r="I48" s="32" t="str">
        <f>IFERROR(IF(H48="ND","ND",XiuYue(((H48-基础页!$B$22)*基础页!$B$15/(C48*(1-O48%))),3,-1,9999)),"")</f>
        <v/>
      </c>
      <c r="O48" s="4"/>
    </row>
    <row r="49" ht="20.25" customHeight="1" spans="1:15">
      <c r="A49" s="3"/>
      <c r="G49" s="5" t="str">
        <f t="shared" si="0"/>
        <v/>
      </c>
      <c r="I49" s="32" t="str">
        <f>IFERROR(IF(H49="ND","ND",XiuYue(((H49-基础页!$B$22)*基础页!$B$15/(C49*(1-O49%))),3,-1,9999)),"")</f>
        <v/>
      </c>
      <c r="O49" s="4"/>
    </row>
    <row r="50" ht="20.25" customHeight="1" spans="1:15">
      <c r="A50" s="3"/>
      <c r="G50" s="5" t="str">
        <f t="shared" si="0"/>
        <v/>
      </c>
      <c r="I50" s="32" t="str">
        <f>IFERROR(IF(H50="ND","ND",XiuYue(((H50-基础页!$B$22)*基础页!$B$15/(C50*(1-O50%))),3,-1,9999)),"")</f>
        <v/>
      </c>
      <c r="O50" s="4"/>
    </row>
    <row r="51" ht="20.25" customHeight="1" spans="1:15">
      <c r="A51" s="3"/>
      <c r="G51" s="5" t="str">
        <f t="shared" si="0"/>
        <v/>
      </c>
      <c r="I51" s="32" t="str">
        <f>IFERROR(IF(H51="ND","ND",XiuYue(((H51-基础页!$B$22)*基础页!$B$15/(C51*(1-O51%))),3,-1,9999)),"")</f>
        <v/>
      </c>
      <c r="O51" s="4"/>
    </row>
    <row r="52" ht="20.25" customHeight="1" spans="1:15">
      <c r="A52" s="3"/>
      <c r="G52" s="5" t="str">
        <f t="shared" si="0"/>
        <v/>
      </c>
      <c r="I52" s="32" t="str">
        <f>IFERROR(IF(H52="ND","ND",XiuYue(((H52-基础页!$B$22)*基础页!$B$15/(C52*(1-O52%))),3,-1,9999)),"")</f>
        <v/>
      </c>
      <c r="O52" s="4"/>
    </row>
    <row r="53" ht="20.25" customHeight="1" spans="1:15">
      <c r="A53" s="3"/>
      <c r="G53" s="5" t="str">
        <f t="shared" si="0"/>
        <v/>
      </c>
      <c r="I53" s="32" t="str">
        <f>IFERROR(IF(H53="ND","ND",XiuYue(((H53-基础页!$B$22)*基础页!$B$15/(C53*(1-O53%))),3,-1,9999)),"")</f>
        <v/>
      </c>
      <c r="O53" s="4"/>
    </row>
    <row r="54" ht="20.25" customHeight="1" spans="1:15">
      <c r="A54" s="3"/>
      <c r="G54" s="5" t="str">
        <f t="shared" si="0"/>
        <v/>
      </c>
      <c r="I54" s="32" t="str">
        <f>IFERROR(IF(H54="ND","ND",XiuYue(((H54-基础页!$B$22)*基础页!$B$15/(C54*(1-O54%))),3,-1,9999)),"")</f>
        <v/>
      </c>
      <c r="O54" s="4"/>
    </row>
    <row r="55" ht="20.25" customHeight="1" spans="1:15">
      <c r="A55" s="3"/>
      <c r="G55" s="5" t="str">
        <f t="shared" si="0"/>
        <v/>
      </c>
      <c r="I55" s="32" t="str">
        <f>IFERROR(IF(H55="ND","ND",XiuYue(((H55-基础页!$B$22)*基础页!$B$15/(C55*(1-O55%))),3,-1,9999)),"")</f>
        <v/>
      </c>
      <c r="O55" s="4"/>
    </row>
    <row r="56" ht="20.25" customHeight="1" spans="1:15">
      <c r="A56" s="3"/>
      <c r="G56" s="5" t="str">
        <f t="shared" si="0"/>
        <v/>
      </c>
      <c r="I56" s="32" t="str">
        <f>IFERROR(IF(H56="ND","ND",XiuYue(((H56-基础页!$B$22)*基础页!$B$15/(C56*(1-O56%))),3,-1,9999)),"")</f>
        <v/>
      </c>
      <c r="O56" s="4"/>
    </row>
    <row r="57" ht="20.25" customHeight="1" spans="1:15">
      <c r="A57" s="3"/>
      <c r="G57" s="5" t="str">
        <f t="shared" si="0"/>
        <v/>
      </c>
      <c r="I57" s="32" t="str">
        <f>IFERROR(IF(H57="ND","ND",XiuYue(((H57-基础页!$B$22)*基础页!$B$15/(C57*(1-O57%))),3,-1,9999)),"")</f>
        <v/>
      </c>
      <c r="O57" s="4"/>
    </row>
    <row r="58" ht="20.25" customHeight="1" spans="1:15">
      <c r="A58" s="3"/>
      <c r="G58" s="5" t="str">
        <f t="shared" si="0"/>
        <v/>
      </c>
      <c r="I58" s="32" t="str">
        <f>IFERROR(IF(H58="ND","ND",XiuYue(((H58-基础页!$B$22)*基础页!$B$15/(C58*(1-O58%))),3,-1,9999)),"")</f>
        <v/>
      </c>
      <c r="O58" s="4"/>
    </row>
    <row r="59" ht="20.25" customHeight="1" spans="1:15">
      <c r="A59" s="3"/>
      <c r="G59" s="5" t="str">
        <f t="shared" si="0"/>
        <v/>
      </c>
      <c r="I59" s="32" t="str">
        <f>IFERROR(IF(H59="ND","ND",XiuYue(((H59-基础页!$B$22)*基础页!$B$15/(C59*(1-O59%))),3,-1,9999)),"")</f>
        <v/>
      </c>
      <c r="O59" s="4"/>
    </row>
    <row r="60" ht="20.25" customHeight="1" spans="1:15">
      <c r="A60" s="3"/>
      <c r="G60" s="5" t="str">
        <f t="shared" si="0"/>
        <v/>
      </c>
      <c r="I60" s="32" t="str">
        <f>IFERROR(IF(H60="ND","ND",XiuYue(((H60-基础页!$B$22)*基础页!$B$15/(C60*(1-O60%))),3,-1,9999)),"")</f>
        <v/>
      </c>
      <c r="O60" s="4"/>
    </row>
    <row r="61" ht="20.25" customHeight="1" spans="1:15">
      <c r="A61" s="3"/>
      <c r="G61" s="5" t="str">
        <f t="shared" si="0"/>
        <v/>
      </c>
      <c r="I61" s="32" t="str">
        <f>IFERROR(IF(H61="ND","ND",XiuYue(((H61-基础页!$B$22)*基础页!$B$15/(C61*(1-O61%))),3,-1,9999)),"")</f>
        <v/>
      </c>
      <c r="O61" s="4"/>
    </row>
    <row r="62" ht="20.25" customHeight="1" spans="1:15">
      <c r="A62" s="3"/>
      <c r="G62" s="5" t="str">
        <f t="shared" si="0"/>
        <v/>
      </c>
      <c r="I62" s="32" t="str">
        <f>IFERROR(IF(H62="ND","ND",XiuYue(((H62-基础页!$B$22)*基础页!$B$15/(C62*(1-O62%))),3,-1,9999)),"")</f>
        <v/>
      </c>
      <c r="O62" s="4"/>
    </row>
    <row r="63" ht="20.25" customHeight="1" spans="1:15">
      <c r="A63" s="3"/>
      <c r="G63" s="5" t="str">
        <f t="shared" si="0"/>
        <v/>
      </c>
      <c r="I63" s="32" t="str">
        <f>IFERROR(IF(H63="ND","ND",XiuYue(((H63-基础页!$B$22)*基础页!$B$15/(C63*(1-O63%))),3,-1,9999)),"")</f>
        <v/>
      </c>
      <c r="O63" s="4"/>
    </row>
    <row r="64" ht="20.25" customHeight="1" spans="1:15">
      <c r="A64" s="3"/>
      <c r="G64" s="5" t="str">
        <f t="shared" si="0"/>
        <v/>
      </c>
      <c r="I64" s="32" t="str">
        <f>IFERROR(IF(H64="ND","ND",XiuYue(((H64-基础页!$B$22)*基础页!$B$15/(C64*(1-O64%))),3,-1,9999)),"")</f>
        <v/>
      </c>
      <c r="O64" s="4"/>
    </row>
    <row r="65" ht="20.25" customHeight="1" spans="1:15">
      <c r="A65" s="3"/>
      <c r="G65" s="5" t="str">
        <f t="shared" si="0"/>
        <v/>
      </c>
      <c r="I65" s="32" t="str">
        <f>IFERROR(IF(H65="ND","ND",XiuYue(((H65-基础页!$B$22)*基础页!$B$15/(C65*(1-O65%))),3,-1,9999)),"")</f>
        <v/>
      </c>
      <c r="O65" s="4"/>
    </row>
    <row r="66" ht="20.25" customHeight="1" spans="1:15">
      <c r="A66" s="3"/>
      <c r="G66" s="5" t="str">
        <f t="shared" si="0"/>
        <v/>
      </c>
      <c r="I66" s="32" t="str">
        <f>IFERROR(IF(H66="ND","ND",XiuYue(((H66-基础页!$B$22)*基础页!$B$15/(C66*(1-O66%))),3,-1,9999)),"")</f>
        <v/>
      </c>
      <c r="O66" s="4"/>
    </row>
    <row r="67" ht="20.25" customHeight="1" spans="1:15">
      <c r="A67" s="3"/>
      <c r="G67" s="5" t="str">
        <f t="shared" si="0"/>
        <v/>
      </c>
      <c r="I67" s="32" t="str">
        <f>IFERROR(IF(H67="ND","ND",XiuYue(((H67-基础页!$B$22)*基础页!$B$15/(C67*(1-O67%))),3,-1,9999)),"")</f>
        <v/>
      </c>
      <c r="O67" s="4"/>
    </row>
    <row r="68" ht="20.25" customHeight="1" spans="1:15">
      <c r="A68" s="3"/>
      <c r="G68" s="5" t="str">
        <f t="shared" si="0"/>
        <v/>
      </c>
      <c r="I68" s="32" t="str">
        <f>IFERROR(IF(H68="ND","ND",XiuYue(((H68-基础页!$B$22)*基础页!$B$15/(C68*(1-O68%))),3,-1,9999)),"")</f>
        <v/>
      </c>
      <c r="O68" s="4"/>
    </row>
    <row r="69" ht="20.25" customHeight="1" spans="1:15">
      <c r="A69" s="3"/>
      <c r="G69" s="5" t="str">
        <f t="shared" si="0"/>
        <v/>
      </c>
      <c r="I69" s="32" t="str">
        <f>IFERROR(IF(H69="ND","ND",XiuYue(((H69-基础页!$B$22)*基础页!$B$15/(C69*(1-O69%))),3,-1,9999)),"")</f>
        <v/>
      </c>
      <c r="O69" s="4"/>
    </row>
    <row r="70" ht="20.25" customHeight="1" spans="1:15">
      <c r="A70" s="3"/>
      <c r="G70" s="5" t="str">
        <f t="shared" ref="G70:G129" si="1">IFERROR(IF(ISBLANK(H70),"",IF(I70="ND","否","是")),"")</f>
        <v/>
      </c>
      <c r="I70" s="32" t="str">
        <f>IFERROR(IF(H70="ND","ND",XiuYue(((H70-基础页!$B$22)*基础页!$B$15/(C70*(1-O70%))),3,-1,9999)),"")</f>
        <v/>
      </c>
      <c r="O70" s="4"/>
    </row>
    <row r="71" ht="20.25" customHeight="1" spans="1:15">
      <c r="A71" s="3"/>
      <c r="G71" s="5" t="str">
        <f t="shared" si="1"/>
        <v/>
      </c>
      <c r="I71" s="32" t="str">
        <f>IFERROR(IF(H71="ND","ND",XiuYue(((H71-基础页!$B$22)*基础页!$B$15/(C71*(1-O71%))),3,-1,9999)),"")</f>
        <v/>
      </c>
      <c r="O71" s="4"/>
    </row>
    <row r="72" ht="20.25" customHeight="1" spans="1:15">
      <c r="A72" s="3"/>
      <c r="G72" s="5" t="str">
        <f t="shared" si="1"/>
        <v/>
      </c>
      <c r="I72" s="32" t="str">
        <f>IFERROR(IF(H72="ND","ND",XiuYue(((H72-基础页!$B$22)*基础页!$B$15/(C72*(1-O72%))),3,-1,9999)),"")</f>
        <v/>
      </c>
      <c r="O72" s="4"/>
    </row>
    <row r="73" ht="20.25" customHeight="1" spans="1:15">
      <c r="A73" s="3"/>
      <c r="G73" s="5" t="str">
        <f t="shared" si="1"/>
        <v/>
      </c>
      <c r="I73" s="32" t="str">
        <f>IFERROR(IF(H73="ND","ND",XiuYue(((H73-基础页!$B$22)*基础页!$B$15/(C73*(1-O73%))),3,-1,9999)),"")</f>
        <v/>
      </c>
      <c r="O73" s="4"/>
    </row>
    <row r="74" ht="20.25" customHeight="1" spans="1:15">
      <c r="A74" s="3"/>
      <c r="G74" s="5" t="str">
        <f t="shared" si="1"/>
        <v/>
      </c>
      <c r="I74" s="32" t="str">
        <f>IFERROR(IF(H74="ND","ND",XiuYue(((H74-基础页!$B$22)*基础页!$B$15/(C74*(1-O74%))),3,-1,9999)),"")</f>
        <v/>
      </c>
      <c r="O74" s="4"/>
    </row>
    <row r="75" ht="20.25" customHeight="1" spans="1:15">
      <c r="A75" s="3"/>
      <c r="G75" s="5" t="str">
        <f t="shared" si="1"/>
        <v/>
      </c>
      <c r="I75" s="32" t="str">
        <f>IFERROR(IF(H75="ND","ND",XiuYue(((H75-基础页!$B$22)*基础页!$B$15/(C75*(1-O75%))),3,-1,9999)),"")</f>
        <v/>
      </c>
      <c r="O75" s="4"/>
    </row>
    <row r="76" ht="20.25" customHeight="1" spans="1:15">
      <c r="A76" s="3"/>
      <c r="G76" s="5" t="str">
        <f t="shared" si="1"/>
        <v/>
      </c>
      <c r="I76" s="32" t="str">
        <f>IFERROR(IF(H76="ND","ND",XiuYue(((H76-基础页!$B$22)*基础页!$B$15/(C76*(1-O76%))),3,-1,9999)),"")</f>
        <v/>
      </c>
      <c r="O76" s="4"/>
    </row>
    <row r="77" ht="20.25" customHeight="1" spans="1:15">
      <c r="A77" s="3"/>
      <c r="G77" s="5" t="str">
        <f t="shared" si="1"/>
        <v/>
      </c>
      <c r="I77" s="32" t="str">
        <f>IFERROR(IF(H77="ND","ND",XiuYue(((H77-基础页!$B$22)*基础页!$B$15/(C77*(1-O77%))),3,-1,9999)),"")</f>
        <v/>
      </c>
      <c r="O77" s="4"/>
    </row>
    <row r="78" ht="20.25" customHeight="1" spans="1:15">
      <c r="A78" s="3"/>
      <c r="G78" s="5" t="str">
        <f t="shared" si="1"/>
        <v/>
      </c>
      <c r="I78" s="32" t="str">
        <f>IFERROR(IF(H78="ND","ND",XiuYue(((H78-基础页!$B$22)*基础页!$B$15/(C78*(1-O78%))),3,-1,9999)),"")</f>
        <v/>
      </c>
      <c r="O78" s="4"/>
    </row>
    <row r="79" ht="20.25" customHeight="1" spans="1:15">
      <c r="A79" s="3"/>
      <c r="G79" s="5" t="str">
        <f t="shared" si="1"/>
        <v/>
      </c>
      <c r="I79" s="32" t="str">
        <f>IFERROR(IF(H79="ND","ND",XiuYue(((H79-基础页!$B$22)*基础页!$B$15/(C79*(1-O79%))),3,-1,9999)),"")</f>
        <v/>
      </c>
      <c r="O79" s="4"/>
    </row>
    <row r="80" ht="20.25" customHeight="1" spans="1:15">
      <c r="A80" s="3"/>
      <c r="G80" s="5" t="str">
        <f t="shared" si="1"/>
        <v/>
      </c>
      <c r="I80" s="32" t="str">
        <f>IFERROR(IF(H80="ND","ND",XiuYue(((H80-基础页!$B$22)*基础页!$B$15/(C80*(1-O80%))),3,-1,9999)),"")</f>
        <v/>
      </c>
      <c r="O80" s="4"/>
    </row>
    <row r="81" ht="20.25" customHeight="1" spans="1:15">
      <c r="A81" s="3"/>
      <c r="G81" s="5" t="str">
        <f t="shared" si="1"/>
        <v/>
      </c>
      <c r="I81" s="32" t="str">
        <f>IFERROR(IF(H81="ND","ND",XiuYue(((H81-基础页!$B$22)*基础页!$B$15/(C81*(1-O81%))),3,-1,9999)),"")</f>
        <v/>
      </c>
      <c r="O81" s="4"/>
    </row>
    <row r="82" ht="20.25" customHeight="1" spans="1:15">
      <c r="A82" s="3"/>
      <c r="G82" s="5" t="str">
        <f t="shared" si="1"/>
        <v/>
      </c>
      <c r="I82" s="32" t="str">
        <f>IFERROR(IF(H82="ND","ND",XiuYue(((H82-基础页!$B$22)*基础页!$B$15/(C82*(1-O82%))),3,-1,9999)),"")</f>
        <v/>
      </c>
      <c r="O82" s="4"/>
    </row>
    <row r="83" ht="20.25" customHeight="1" spans="1:15">
      <c r="A83" s="3"/>
      <c r="G83" s="5" t="str">
        <f t="shared" si="1"/>
        <v/>
      </c>
      <c r="I83" s="32" t="str">
        <f>IFERROR(IF(H83="ND","ND",XiuYue(((H83-基础页!$B$22)*基础页!$B$15/(C83*(1-O83%))),3,-1,9999)),"")</f>
        <v/>
      </c>
      <c r="O83" s="4"/>
    </row>
    <row r="84" ht="20.25" customHeight="1" spans="1:15">
      <c r="A84" s="3"/>
      <c r="G84" s="5" t="str">
        <f t="shared" si="1"/>
        <v/>
      </c>
      <c r="I84" s="32" t="str">
        <f>IFERROR(IF(H84="ND","ND",XiuYue(((H84-基础页!$B$22)*基础页!$B$15/(C84*(1-O84%))),3,-1,9999)),"")</f>
        <v/>
      </c>
      <c r="O84" s="4"/>
    </row>
    <row r="85" ht="20.25" customHeight="1" spans="1:15">
      <c r="A85" s="3"/>
      <c r="G85" s="5" t="str">
        <f t="shared" si="1"/>
        <v/>
      </c>
      <c r="I85" s="32" t="str">
        <f>IFERROR(IF(H85="ND","ND",XiuYue(((H85-基础页!$B$22)*基础页!$B$15/(C85*(1-O85%))),3,-1,9999)),"")</f>
        <v/>
      </c>
      <c r="O85" s="4"/>
    </row>
    <row r="86" ht="20.25" customHeight="1" spans="1:15">
      <c r="A86" s="3"/>
      <c r="G86" s="5" t="str">
        <f t="shared" si="1"/>
        <v/>
      </c>
      <c r="I86" s="32" t="str">
        <f>IFERROR(IF(H86="ND","ND",XiuYue(((H86-基础页!$B$22)*基础页!$B$15/(C86*(1-O86%))),3,-1,9999)),"")</f>
        <v/>
      </c>
      <c r="O86" s="4"/>
    </row>
    <row r="87" ht="20.25" customHeight="1" spans="1:15">
      <c r="A87" s="3"/>
      <c r="G87" s="5" t="str">
        <f t="shared" si="1"/>
        <v/>
      </c>
      <c r="I87" s="32" t="str">
        <f>IFERROR(IF(H87="ND","ND",XiuYue(((H87-基础页!$B$22)*基础页!$B$15/(C87*(1-O87%))),3,-1,9999)),"")</f>
        <v/>
      </c>
      <c r="O87" s="4"/>
    </row>
    <row r="88" ht="20.25" customHeight="1" spans="1:15">
      <c r="A88" s="3"/>
      <c r="G88" s="5" t="str">
        <f t="shared" si="1"/>
        <v/>
      </c>
      <c r="I88" s="32" t="str">
        <f>IFERROR(IF(H88="ND","ND",XiuYue(((H88-基础页!$B$22)*基础页!$B$15/(C88*(1-O88%))),3,-1,9999)),"")</f>
        <v/>
      </c>
      <c r="O88" s="4"/>
    </row>
    <row r="89" ht="20.25" customHeight="1" spans="1:15">
      <c r="A89" s="3"/>
      <c r="G89" s="5" t="str">
        <f t="shared" si="1"/>
        <v/>
      </c>
      <c r="I89" s="32" t="str">
        <f>IFERROR(IF(H89="ND","ND",XiuYue(((H89-基础页!$B$22)*基础页!$B$15/(C89*(1-O89%))),3,-1,9999)),"")</f>
        <v/>
      </c>
      <c r="O89" s="4"/>
    </row>
    <row r="90" ht="20.25" customHeight="1" spans="1:15">
      <c r="A90" s="3"/>
      <c r="G90" s="5" t="str">
        <f t="shared" si="1"/>
        <v/>
      </c>
      <c r="I90" s="32" t="str">
        <f>IFERROR(IF(H90="ND","ND",XiuYue(((H90-基础页!$B$22)*基础页!$B$15/(C90*(1-O90%))),3,-1,9999)),"")</f>
        <v/>
      </c>
      <c r="O90" s="4"/>
    </row>
    <row r="91" ht="20.25" customHeight="1" spans="1:15">
      <c r="A91" s="3"/>
      <c r="G91" s="5" t="str">
        <f t="shared" si="1"/>
        <v/>
      </c>
      <c r="I91" s="32" t="str">
        <f>IFERROR(IF(H91="ND","ND",XiuYue(((H91-基础页!$B$22)*基础页!$B$15/(C91*(1-O91%))),3,-1,9999)),"")</f>
        <v/>
      </c>
      <c r="O91" s="4"/>
    </row>
    <row r="92" ht="20.25" customHeight="1" spans="1:15">
      <c r="A92" s="3"/>
      <c r="G92" s="5" t="str">
        <f t="shared" si="1"/>
        <v/>
      </c>
      <c r="I92" s="32" t="str">
        <f>IFERROR(IF(H92="ND","ND",XiuYue(((H92-基础页!$B$22)*基础页!$B$15/(C92*(1-O92%))),3,-1,9999)),"")</f>
        <v/>
      </c>
      <c r="O92" s="4"/>
    </row>
    <row r="93" ht="20.25" customHeight="1" spans="1:15">
      <c r="A93" s="3"/>
      <c r="G93" s="5" t="str">
        <f t="shared" si="1"/>
        <v/>
      </c>
      <c r="I93" s="32" t="str">
        <f>IFERROR(IF(H93="ND","ND",XiuYue(((H93-基础页!$B$22)*基础页!$B$15/(C93*(1-O93%))),3,-1,9999)),"")</f>
        <v/>
      </c>
      <c r="O93" s="4"/>
    </row>
    <row r="94" ht="20.25" customHeight="1" spans="1:15">
      <c r="A94" s="3"/>
      <c r="G94" s="5" t="str">
        <f t="shared" si="1"/>
        <v/>
      </c>
      <c r="I94" s="32" t="str">
        <f>IFERROR(IF(H94="ND","ND",XiuYue(((H94-基础页!$B$22)*基础页!$B$15/(C94*(1-O94%))),3,-1,9999)),"")</f>
        <v/>
      </c>
      <c r="O94" s="4"/>
    </row>
    <row r="95" ht="20.25" customHeight="1" spans="1:15">
      <c r="A95" s="3"/>
      <c r="G95" s="5" t="str">
        <f t="shared" si="1"/>
        <v/>
      </c>
      <c r="I95" s="32" t="str">
        <f>IFERROR(IF(H95="ND","ND",XiuYue(((H95-基础页!$B$22)*基础页!$B$15/(C95*(1-O95%))),3,-1,9999)),"")</f>
        <v/>
      </c>
      <c r="O95" s="4"/>
    </row>
    <row r="96" ht="20.25" customHeight="1" spans="1:15">
      <c r="A96" s="3"/>
      <c r="G96" s="5" t="str">
        <f t="shared" si="1"/>
        <v/>
      </c>
      <c r="I96" s="32" t="str">
        <f>IFERROR(IF(H96="ND","ND",XiuYue(((H96-基础页!$B$22)*基础页!$B$15/(C96*(1-O96%))),3,-1,9999)),"")</f>
        <v/>
      </c>
      <c r="O96" s="4"/>
    </row>
    <row r="97" ht="20.25" customHeight="1" spans="1:15">
      <c r="A97" s="3"/>
      <c r="G97" s="5" t="str">
        <f t="shared" si="1"/>
        <v/>
      </c>
      <c r="I97" s="32" t="str">
        <f>IFERROR(IF(H97="ND","ND",XiuYue(((H97-基础页!$B$22)*基础页!$B$15/(C97*(1-O97%))),3,-1,9999)),"")</f>
        <v/>
      </c>
      <c r="O97" s="4"/>
    </row>
    <row r="98" ht="20.25" customHeight="1" spans="1:15">
      <c r="A98" s="3"/>
      <c r="G98" s="5" t="str">
        <f t="shared" si="1"/>
        <v/>
      </c>
      <c r="I98" s="32" t="str">
        <f>IFERROR(IF(H98="ND","ND",XiuYue(((H98-基础页!$B$22)*基础页!$B$15/(C98*(1-O98%))),3,-1,9999)),"")</f>
        <v/>
      </c>
      <c r="O98" s="4"/>
    </row>
    <row r="99" ht="20.25" customHeight="1" spans="1:15">
      <c r="A99" s="3"/>
      <c r="G99" s="5" t="str">
        <f t="shared" si="1"/>
        <v/>
      </c>
      <c r="I99" s="32" t="str">
        <f>IFERROR(IF(H99="ND","ND",XiuYue(((H99-基础页!$B$22)*基础页!$B$15/(C99*(1-O99%))),3,-1,9999)),"")</f>
        <v/>
      </c>
      <c r="O99" s="4"/>
    </row>
    <row r="100" ht="20.25" customHeight="1" spans="1:15">
      <c r="A100" s="3"/>
      <c r="G100" s="5" t="str">
        <f t="shared" si="1"/>
        <v/>
      </c>
      <c r="I100" s="32" t="str">
        <f>IFERROR(IF(H100="ND","ND",XiuYue(((H100-基础页!$B$22)*基础页!$B$15/(C100*(1-O100%))),3,-1,9999)),"")</f>
        <v/>
      </c>
      <c r="O100" s="4"/>
    </row>
    <row r="101" ht="20.25" customHeight="1" spans="1:15">
      <c r="A101" s="3"/>
      <c r="G101" s="5" t="str">
        <f t="shared" si="1"/>
        <v/>
      </c>
      <c r="I101" s="32" t="str">
        <f>IFERROR(IF(H101="ND","ND",XiuYue(((H101-基础页!$B$22)*基础页!$B$15/(C101*(1-O101%))),3,-1,9999)),"")</f>
        <v/>
      </c>
      <c r="O101" s="4"/>
    </row>
    <row r="102" ht="20.25" customHeight="1" spans="1:15">
      <c r="A102" s="3"/>
      <c r="G102" s="5" t="str">
        <f t="shared" si="1"/>
        <v/>
      </c>
      <c r="I102" s="32" t="str">
        <f>IFERROR(IF(H102="ND","ND",XiuYue(((H102-基础页!$B$22)*基础页!$B$15/(C102*(1-O102%))),3,-1,9999)),"")</f>
        <v/>
      </c>
      <c r="O102" s="4"/>
    </row>
    <row r="103" ht="20.25" customHeight="1" spans="1:15">
      <c r="A103" s="3"/>
      <c r="G103" s="5" t="str">
        <f t="shared" si="1"/>
        <v/>
      </c>
      <c r="I103" s="32" t="str">
        <f>IFERROR(IF(H103="ND","ND",XiuYue(((H103-基础页!$B$22)*基础页!$B$15/(C103*(1-O103%))),3,-1,9999)),"")</f>
        <v/>
      </c>
      <c r="O103" s="4"/>
    </row>
    <row r="104" ht="20.25" customHeight="1" spans="1:15">
      <c r="A104" s="3"/>
      <c r="G104" s="5" t="str">
        <f t="shared" si="1"/>
        <v/>
      </c>
      <c r="I104" s="32" t="str">
        <f>IFERROR(IF(H104="ND","ND",XiuYue(((H104-基础页!$B$22)*基础页!$B$15/(C104*(1-O104%))),3,-1,9999)),"")</f>
        <v/>
      </c>
      <c r="O104" s="4"/>
    </row>
    <row r="105" ht="20.25" customHeight="1" spans="1:15">
      <c r="A105" s="3"/>
      <c r="G105" s="5" t="str">
        <f t="shared" si="1"/>
        <v/>
      </c>
      <c r="I105" s="32" t="str">
        <f>IFERROR(IF(H105="ND","ND",XiuYue(((H105-基础页!$B$22)*基础页!$B$15/(C105*(1-O105%))),3,-1,9999)),"")</f>
        <v/>
      </c>
      <c r="O105" s="4"/>
    </row>
    <row r="106" ht="20.25" customHeight="1" spans="1:15">
      <c r="A106" s="3"/>
      <c r="G106" s="5" t="str">
        <f t="shared" si="1"/>
        <v/>
      </c>
      <c r="I106" s="32" t="str">
        <f>IFERROR(IF(H106="ND","ND",XiuYue(((H106-基础页!$B$22)*基础页!$B$15/(C106*(1-O106%))),3,-1,9999)),"")</f>
        <v/>
      </c>
      <c r="O106" s="4"/>
    </row>
    <row r="107" ht="20.25" customHeight="1" spans="1:15">
      <c r="A107" s="3"/>
      <c r="G107" s="5" t="str">
        <f t="shared" si="1"/>
        <v/>
      </c>
      <c r="I107" s="32" t="str">
        <f>IFERROR(IF(H107="ND","ND",XiuYue(((H107-基础页!$B$22)*基础页!$B$15/(C107*(1-O107%))),3,-1,9999)),"")</f>
        <v/>
      </c>
      <c r="O107" s="4"/>
    </row>
    <row r="108" ht="20.25" customHeight="1" spans="1:15">
      <c r="A108" s="3"/>
      <c r="G108" s="5" t="str">
        <f t="shared" si="1"/>
        <v/>
      </c>
      <c r="I108" s="32" t="str">
        <f>IFERROR(IF(H108="ND","ND",XiuYue(((H108-基础页!$B$22)*基础页!$B$15/(C108*(1-O108%))),3,-1,9999)),"")</f>
        <v/>
      </c>
      <c r="O108" s="4"/>
    </row>
    <row r="109" ht="20.25" customHeight="1" spans="1:15">
      <c r="A109" s="3"/>
      <c r="G109" s="5" t="str">
        <f t="shared" si="1"/>
        <v/>
      </c>
      <c r="I109" s="32" t="str">
        <f>IFERROR(IF(H109="ND","ND",XiuYue(((H109-基础页!$B$22)*基础页!$B$15/(C109*(1-O109%))),3,-1,9999)),"")</f>
        <v/>
      </c>
      <c r="O109" s="4"/>
    </row>
    <row r="110" ht="20.25" customHeight="1" spans="1:15">
      <c r="A110" s="3"/>
      <c r="G110" s="5" t="str">
        <f t="shared" si="1"/>
        <v/>
      </c>
      <c r="I110" s="32" t="str">
        <f>IFERROR(IF(H110="ND","ND",XiuYue(((H110-基础页!$B$22)*基础页!$B$15/(C110*(1-O110%))),3,-1,9999)),"")</f>
        <v/>
      </c>
      <c r="O110" s="4"/>
    </row>
    <row r="111" ht="20.25" customHeight="1" spans="1:15">
      <c r="A111" s="3"/>
      <c r="G111" s="5" t="str">
        <f t="shared" si="1"/>
        <v/>
      </c>
      <c r="I111" s="32" t="str">
        <f>IFERROR(IF(H111="ND","ND",XiuYue(((H111-基础页!$B$22)*基础页!$B$15/(C111*(1-O111%))),3,-1,9999)),"")</f>
        <v/>
      </c>
      <c r="O111" s="4"/>
    </row>
    <row r="112" ht="20.25" customHeight="1" spans="1:15">
      <c r="A112" s="3"/>
      <c r="G112" s="5" t="str">
        <f t="shared" si="1"/>
        <v/>
      </c>
      <c r="I112" s="32" t="str">
        <f>IFERROR(IF(H112="ND","ND",XiuYue(((H112-基础页!$B$22)*基础页!$B$15/(C112*(1-O112%))),3,-1,9999)),"")</f>
        <v/>
      </c>
      <c r="O112" s="4"/>
    </row>
    <row r="113" ht="20.25" customHeight="1" spans="1:15">
      <c r="A113" s="3"/>
      <c r="G113" s="5" t="str">
        <f t="shared" si="1"/>
        <v/>
      </c>
      <c r="I113" s="32" t="str">
        <f>IFERROR(IF(H113="ND","ND",XiuYue(((H113-基础页!$B$22)*基础页!$B$15/(C113*(1-O113%))),3,-1,9999)),"")</f>
        <v/>
      </c>
      <c r="O113" s="4"/>
    </row>
    <row r="114" ht="20.25" customHeight="1" spans="1:15">
      <c r="A114" s="3"/>
      <c r="G114" s="5" t="str">
        <f t="shared" si="1"/>
        <v/>
      </c>
      <c r="I114" s="32" t="str">
        <f>IFERROR(IF(H114="ND","ND",XiuYue(((H114-基础页!$B$22)*基础页!$B$15/(C114*(1-O114%))),3,-1,9999)),"")</f>
        <v/>
      </c>
      <c r="O114" s="4"/>
    </row>
    <row r="115" ht="20.25" customHeight="1" spans="1:15">
      <c r="A115" s="3"/>
      <c r="G115" s="5" t="str">
        <f t="shared" si="1"/>
        <v/>
      </c>
      <c r="I115" s="32" t="str">
        <f>IFERROR(IF(H115="ND","ND",XiuYue(((H115-基础页!$B$22)*基础页!$B$15/(C115*(1-O115%))),3,-1,9999)),"")</f>
        <v/>
      </c>
      <c r="O115" s="4"/>
    </row>
    <row r="116" ht="20.25" customHeight="1" spans="1:15">
      <c r="A116" s="3"/>
      <c r="G116" s="5" t="str">
        <f t="shared" si="1"/>
        <v/>
      </c>
      <c r="I116" s="32" t="str">
        <f>IFERROR(IF(H116="ND","ND",XiuYue(((H116-基础页!$B$22)*基础页!$B$15/(C116*(1-O116%))),3,-1,9999)),"")</f>
        <v/>
      </c>
      <c r="O116" s="4"/>
    </row>
    <row r="117" ht="20.25" customHeight="1" spans="1:15">
      <c r="A117" s="3"/>
      <c r="G117" s="5" t="str">
        <f t="shared" si="1"/>
        <v/>
      </c>
      <c r="I117" s="32" t="str">
        <f>IFERROR(IF(H117="ND","ND",XiuYue(((H117-基础页!$B$22)*基础页!$B$15/(C117*(1-O117%))),3,-1,9999)),"")</f>
        <v/>
      </c>
      <c r="O117" s="4"/>
    </row>
    <row r="118" ht="20.25" customHeight="1" spans="1:15">
      <c r="A118" s="3"/>
      <c r="G118" s="5" t="str">
        <f t="shared" si="1"/>
        <v/>
      </c>
      <c r="I118" s="32" t="str">
        <f>IFERROR(IF(H118="ND","ND",XiuYue(((H118-基础页!$B$22)*基础页!$B$15/(C118*(1-O118%))),3,-1,9999)),"")</f>
        <v/>
      </c>
      <c r="O118" s="4"/>
    </row>
    <row r="119" ht="20.25" customHeight="1" spans="1:15">
      <c r="A119" s="3"/>
      <c r="G119" s="5" t="str">
        <f t="shared" si="1"/>
        <v/>
      </c>
      <c r="I119" s="32" t="str">
        <f>IFERROR(IF(H119="ND","ND",XiuYue(((H119-基础页!$B$22)*基础页!$B$15/(C119*(1-O119%))),3,-1,9999)),"")</f>
        <v/>
      </c>
      <c r="O119" s="4"/>
    </row>
    <row r="120" ht="20.25" customHeight="1" spans="1:15">
      <c r="A120" s="3"/>
      <c r="G120" s="5" t="str">
        <f t="shared" si="1"/>
        <v/>
      </c>
      <c r="I120" s="32" t="str">
        <f>IFERROR(IF(H120="ND","ND",XiuYue(((H120-基础页!$B$22)*基础页!$B$15/(C120*(1-O120%))),3,-1,9999)),"")</f>
        <v/>
      </c>
      <c r="O120" s="4"/>
    </row>
    <row r="121" ht="20.25" customHeight="1" spans="1:15">
      <c r="A121" s="3"/>
      <c r="G121" s="5" t="str">
        <f t="shared" si="1"/>
        <v/>
      </c>
      <c r="I121" s="32" t="str">
        <f>IFERROR(IF(H121="ND","ND",XiuYue(((H121-基础页!$B$22)*基础页!$B$15/(C121*(1-O121%))),3,-1,9999)),"")</f>
        <v/>
      </c>
      <c r="O121" s="4"/>
    </row>
    <row r="122" ht="20.25" customHeight="1" spans="1:15">
      <c r="A122" s="3"/>
      <c r="G122" s="5" t="str">
        <f t="shared" si="1"/>
        <v/>
      </c>
      <c r="I122" s="32" t="str">
        <f>IFERROR(IF(H122="ND","ND",XiuYue(((H122-基础页!$B$22)*基础页!$B$15/(C122*(1-O122%))),3,-1,9999)),"")</f>
        <v/>
      </c>
      <c r="O122" s="4"/>
    </row>
    <row r="123" ht="20.25" customHeight="1" spans="1:15">
      <c r="A123" s="3"/>
      <c r="G123" s="5" t="str">
        <f t="shared" si="1"/>
        <v/>
      </c>
      <c r="I123" s="32" t="str">
        <f>IFERROR(IF(H123="ND","ND",XiuYue(((H123-基础页!$B$22)*基础页!$B$15/(C123*(1-O123%))),3,-1,9999)),"")</f>
        <v/>
      </c>
      <c r="O123" s="4"/>
    </row>
    <row r="124" ht="20.25" customHeight="1" spans="1:15">
      <c r="A124" s="3"/>
      <c r="G124" s="5" t="str">
        <f t="shared" si="1"/>
        <v/>
      </c>
      <c r="I124" s="32" t="str">
        <f>IFERROR(IF(H124="ND","ND",XiuYue(((H124-基础页!$B$22)*基础页!$B$15/(C124*(1-O124%))),3,-1,9999)),"")</f>
        <v/>
      </c>
      <c r="O124" s="4"/>
    </row>
    <row r="125" ht="20.25" customHeight="1" spans="1:15">
      <c r="A125" s="3"/>
      <c r="G125" s="5" t="str">
        <f t="shared" si="1"/>
        <v/>
      </c>
      <c r="I125" s="32" t="str">
        <f>IFERROR(IF(H125="ND","ND",XiuYue(((H125-基础页!$B$22)*基础页!$B$15/(C125*(1-O125%))),3,-1,9999)),"")</f>
        <v/>
      </c>
      <c r="O125" s="4"/>
    </row>
    <row r="126" ht="20.25" customHeight="1" spans="1:15">
      <c r="A126" s="3"/>
      <c r="G126" s="5" t="str">
        <f t="shared" si="1"/>
        <v/>
      </c>
      <c r="I126" s="32" t="str">
        <f>IFERROR(IF(H126="ND","ND",XiuYue(((H126-基础页!$B$22)*基础页!$B$15/(C126*(1-O126%))),3,-1,9999)),"")</f>
        <v/>
      </c>
      <c r="O126" s="4"/>
    </row>
    <row r="127" ht="20.25" customHeight="1" spans="1:15">
      <c r="A127" s="3"/>
      <c r="G127" s="5" t="str">
        <f t="shared" si="1"/>
        <v/>
      </c>
      <c r="I127" s="32" t="str">
        <f>IFERROR(IF(H127="ND","ND",XiuYue(((H127-基础页!$B$22)*基础页!$B$15/(C127*(1-O127%))),3,-1,9999)),"")</f>
        <v/>
      </c>
      <c r="O127" s="4"/>
    </row>
    <row r="128" ht="20.25" customHeight="1" spans="1:15">
      <c r="A128" s="3"/>
      <c r="G128" s="5" t="str">
        <f t="shared" si="1"/>
        <v/>
      </c>
      <c r="I128" s="32" t="str">
        <f>IFERROR(IF(H128="ND","ND",XiuYue(((H128-基础页!$B$22)*基础页!$B$15/(C128*(1-O128%))),3,-1,9999)),"")</f>
        <v/>
      </c>
      <c r="O128" s="4"/>
    </row>
    <row r="129" ht="20.25" customHeight="1" spans="1:15">
      <c r="A129" s="3"/>
      <c r="G129" s="5" t="str">
        <f t="shared" si="1"/>
        <v/>
      </c>
      <c r="I129" s="32" t="str">
        <f>IFERROR(IF(H129="ND","ND",XiuYue(((H129-基础页!$B$22)*基础页!$B$15/(C129*(1-O129%))),3,-1,9999)),"")</f>
        <v/>
      </c>
      <c r="O129" s="4"/>
    </row>
    <row r="130" ht="20.25" customHeight="1" spans="1:15">
      <c r="A130" s="3"/>
      <c r="I130" s="32" t="str">
        <f>IFERROR(IF(H130="ND","ND",XiuYue(((H130-基础页!$B$22)*基础页!$B$15/(C130*(1-O130%))),3,-1,9999)),"")</f>
        <v/>
      </c>
      <c r="O130" s="4"/>
    </row>
    <row r="131" ht="20.25" customHeight="1" spans="1:15">
      <c r="A131" s="3"/>
      <c r="I131" s="32" t="str">
        <f>IFERROR(IF(H131="ND","ND",XiuYue(((H131-基础页!$B$22)*基础页!$B$15/(C131*(1-O131%))),3,-1,9999)),"")</f>
        <v/>
      </c>
      <c r="O131" s="4"/>
    </row>
    <row r="132" ht="20.25" customHeight="1" spans="1:15">
      <c r="A132" s="3"/>
      <c r="I132" s="32" t="str">
        <f>IFERROR(IF(H132="ND","ND",XiuYue(((H132-基础页!$B$22)*基础页!$B$15/(C132*(1-O132%))),3,-1,9999)),"")</f>
        <v/>
      </c>
      <c r="O132" s="4"/>
    </row>
    <row r="133" ht="20.25" customHeight="1" spans="1:15">
      <c r="A133" s="3"/>
      <c r="I133" s="32" t="str">
        <f>IFERROR(IF(H133="ND","ND",XiuYue(((H133-基础页!$B$22)*基础页!$B$15/(C133*(1-O133%))),3,-1,9999)),"")</f>
        <v/>
      </c>
      <c r="O133" s="4"/>
    </row>
    <row r="134" ht="20.25" customHeight="1" spans="1:15">
      <c r="A134" s="3"/>
      <c r="I134" s="32" t="str">
        <f>IFERROR(IF(H134="ND","ND",XiuYue(((H134-基础页!$B$22)*基础页!$B$15/(C134*(1-O134%))),3,-1,9999)),"")</f>
        <v/>
      </c>
      <c r="O134" s="4"/>
    </row>
    <row r="135" ht="20.25" customHeight="1" spans="1:15">
      <c r="A135" s="3"/>
      <c r="I135" s="32" t="str">
        <f>IFERROR(IF(H135="ND","ND",XiuYue(((H135-基础页!$B$22)*基础页!$B$15/(C135*(1-O135%))),3,-1,9999)),"")</f>
        <v/>
      </c>
      <c r="O135" s="4"/>
    </row>
    <row r="136" ht="20.25" customHeight="1" spans="1:15">
      <c r="A136" s="3"/>
      <c r="I136" s="32" t="str">
        <f>IFERROR(IF(H136="ND","ND",XiuYue(((H136-基础页!$B$22)*基础页!$B$15/(C136*(1-O136%))),3,-1,9999)),"")</f>
        <v/>
      </c>
      <c r="O136" s="4"/>
    </row>
    <row r="137" ht="20.25" customHeight="1" spans="1:15">
      <c r="A137" s="3"/>
      <c r="I137" s="32" t="str">
        <f>IFERROR(IF(H137="ND","ND",XiuYue(((H137-基础页!$B$22)*基础页!$B$15/(C137*(1-O137%))),3,-1,9999)),"")</f>
        <v/>
      </c>
      <c r="O137" s="4"/>
    </row>
    <row r="138" ht="20.25" customHeight="1" spans="1:15">
      <c r="A138" s="3"/>
      <c r="I138" s="32" t="str">
        <f>IFERROR(IF(H138="ND","ND",XiuYue(((H138-基础页!$B$22)*基础页!$B$15/(C138*(1-O138%))),3,-1,9999)),"")</f>
        <v/>
      </c>
      <c r="O138" s="4"/>
    </row>
    <row r="139" ht="20.25" customHeight="1" spans="1:15">
      <c r="A139" s="3"/>
      <c r="I139" s="32" t="str">
        <f>IFERROR(IF(H139="ND","ND",XiuYue(((H139-基础页!$B$22)*基础页!$B$15/(C139*(1-O139%))),3,-1,9999)),"")</f>
        <v/>
      </c>
      <c r="O139" s="4"/>
    </row>
    <row r="140" ht="20.25" customHeight="1" spans="1:15">
      <c r="A140" s="3"/>
      <c r="I140" s="32" t="str">
        <f>IFERROR(IF(H140="ND","ND",XiuYue(((H140-基础页!$B$22)*基础页!$B$15/(C140*(1-O140%))),3,-1,9999)),"")</f>
        <v/>
      </c>
      <c r="O140" s="4"/>
    </row>
    <row r="141" ht="20.25" customHeight="1" spans="1:15">
      <c r="A141" s="3"/>
      <c r="I141" s="32" t="str">
        <f>IFERROR(IF(H141="ND","ND",XiuYue(((H141-基础页!$B$22)*基础页!$B$15/(C141*(1-O141%))),3,-1,9999)),"")</f>
        <v/>
      </c>
      <c r="O141" s="4"/>
    </row>
    <row r="142" ht="20.25" customHeight="1" spans="1:15">
      <c r="A142" s="3"/>
      <c r="I142" s="32" t="str">
        <f>IFERROR(IF(H142="ND","ND",XiuYue(((H142-基础页!$B$22)*基础页!$B$15/(C142*(1-O142%))),3,-1,9999)),"")</f>
        <v/>
      </c>
      <c r="O142" s="4"/>
    </row>
    <row r="143" ht="20.25" customHeight="1" spans="1:15">
      <c r="A143" s="3"/>
      <c r="I143" s="32" t="str">
        <f>IFERROR(IF(H143="ND","ND",XiuYue(((H143-基础页!$B$22)*基础页!$B$15/(C143*(1-O143%))),3,-1,9999)),"")</f>
        <v/>
      </c>
      <c r="O143" s="4"/>
    </row>
    <row r="144" ht="20.25" customHeight="1" spans="1:15">
      <c r="A144" s="3"/>
      <c r="I144" s="32" t="str">
        <f>IFERROR(IF(H144="ND","ND",XiuYue(((H144-基础页!$B$22)*基础页!$B$15/(C144*(1-O144%))),3,-1,9999)),"")</f>
        <v/>
      </c>
      <c r="O144" s="4"/>
    </row>
    <row r="145" ht="20.25" customHeight="1" spans="1:15">
      <c r="A145" s="3"/>
      <c r="I145" s="32" t="str">
        <f>IFERROR(IF(H145="ND","ND",XiuYue(((H145-基础页!$B$22)*基础页!$B$15/(C145*(1-O145%))),3,-1,9999)),"")</f>
        <v/>
      </c>
      <c r="O145" s="4"/>
    </row>
    <row r="146" ht="20.25" customHeight="1" spans="1:15">
      <c r="A146" s="3"/>
      <c r="I146" s="32" t="str">
        <f>IFERROR(IF(H146="ND","ND",XiuYue(((H146-基础页!$B$22)*基础页!$B$15/(C146*(1-O146%))),3,-1,9999)),"")</f>
        <v/>
      </c>
      <c r="O146" s="4"/>
    </row>
    <row r="147" ht="20.25" customHeight="1" spans="1:15">
      <c r="A147" s="3"/>
      <c r="I147" s="32" t="str">
        <f>IFERROR(IF(H147="ND","ND",XiuYue(((H147-基础页!$B$22)*基础页!$B$15/(C147*(1-O147%))),3,-1,9999)),"")</f>
        <v/>
      </c>
      <c r="O147" s="4"/>
    </row>
    <row r="148" ht="20.25" customHeight="1" spans="1:15">
      <c r="A148" s="3"/>
      <c r="I148" s="32" t="str">
        <f>IFERROR(IF(H148="ND","ND",XiuYue(((H148-基础页!$B$22)*基础页!$B$15/(C148*(1-O148%))),3,-1,9999)),"")</f>
        <v/>
      </c>
      <c r="O148" s="4"/>
    </row>
    <row r="149" ht="20.25" customHeight="1" spans="1:15">
      <c r="A149" s="3"/>
      <c r="I149" s="32" t="str">
        <f>IFERROR(IF(H149="ND","ND",XiuYue(((H149-基础页!$B$22)*基础页!$B$15/(C149*(1-O149%))),3,-1,9999)),"")</f>
        <v/>
      </c>
      <c r="O149" s="4"/>
    </row>
    <row r="150" ht="20.25" customHeight="1" spans="1:15">
      <c r="A150" s="3"/>
      <c r="I150" s="32" t="str">
        <f>IFERROR(IF(H150="ND","ND",XiuYue(((H150-基础页!$B$22)*基础页!$B$15/(C150*(1-O150%))),3,-1,9999)),"")</f>
        <v/>
      </c>
      <c r="O150" s="4"/>
    </row>
    <row r="151" ht="20.25" customHeight="1" spans="1:15">
      <c r="A151" s="3"/>
      <c r="I151" s="32" t="str">
        <f>IFERROR(IF(H151="ND","ND",XiuYue(((H151-基础页!$B$22)*基础页!$B$15/(C151*(1-O151%))),3,-1,9999)),"")</f>
        <v/>
      </c>
      <c r="O151" s="4"/>
    </row>
    <row r="152" ht="20.25" customHeight="1" spans="1:15">
      <c r="A152" s="3"/>
      <c r="I152" s="32" t="str">
        <f>IFERROR(IF(H152="ND","ND",XiuYue(((H152-基础页!$B$22)*基础页!$B$15/(C152*(1-O152%))),3,-1,9999)),"")</f>
        <v/>
      </c>
      <c r="O152" s="4"/>
    </row>
    <row r="153" ht="20.25" customHeight="1" spans="1:15">
      <c r="A153" s="3"/>
      <c r="I153" s="32" t="str">
        <f>IFERROR(IF(H153="ND","ND",XiuYue(((H153-基础页!$B$22)*基础页!$B$15/(C153*(1-O153%))),3,-1,9999)),"")</f>
        <v/>
      </c>
      <c r="O153" s="4"/>
    </row>
    <row r="154" ht="20.25" customHeight="1" spans="1:15">
      <c r="A154" s="3"/>
      <c r="I154" s="32" t="str">
        <f>IFERROR(IF(H154="ND","ND",XiuYue(((H154-基础页!$B$22)*基础页!$B$15/(C154*(1-O154%))),3,-1,9999)),"")</f>
        <v/>
      </c>
      <c r="O154" s="4"/>
    </row>
    <row r="155" ht="20.25" customHeight="1" spans="1:15">
      <c r="A155" s="3"/>
      <c r="I155" s="32" t="str">
        <f>IFERROR(IF(H155="ND","ND",XiuYue(((H155-基础页!$B$22)*基础页!$B$15/(C155*(1-O155%))),3,-1,9999)),"")</f>
        <v/>
      </c>
      <c r="O155" s="4"/>
    </row>
    <row r="156" ht="20.25" customHeight="1" spans="1:15">
      <c r="A156" s="3"/>
      <c r="I156" s="32" t="str">
        <f>IFERROR(IF(H156="ND","ND",XiuYue(((H156-基础页!$B$22)*基础页!$B$15/(C156*(1-O156%))),3,-1,9999)),"")</f>
        <v/>
      </c>
      <c r="O156" s="4"/>
    </row>
    <row r="157" ht="20.25" customHeight="1" spans="1:15">
      <c r="A157" s="3"/>
      <c r="I157" s="32" t="str">
        <f>IFERROR(IF(H157="ND","ND",XiuYue(((H157-基础页!$B$22)*基础页!$B$15/(C157*(1-O157%))),3,-1,9999)),"")</f>
        <v/>
      </c>
      <c r="O157" s="4"/>
    </row>
    <row r="158" ht="20.25" customHeight="1" spans="1:15">
      <c r="A158" s="3"/>
      <c r="I158" s="32" t="str">
        <f>IFERROR(IF(H158="ND","ND",XiuYue(((H158-基础页!$B$22)*基础页!$B$15/(C158*(1-O158%))),3,-1,9999)),"")</f>
        <v/>
      </c>
      <c r="O158" s="4"/>
    </row>
    <row r="159" ht="20.25" customHeight="1" spans="1:15">
      <c r="A159" s="3"/>
      <c r="I159" s="32" t="str">
        <f>IFERROR(IF(H159="ND","ND",XiuYue(((H159-基础页!$B$22)*基础页!$B$15/(C159*(1-O159%))),3,-1,9999)),"")</f>
        <v/>
      </c>
      <c r="O159" s="4"/>
    </row>
    <row r="160" ht="20.25" customHeight="1" spans="1:15">
      <c r="A160" s="3"/>
      <c r="I160" s="32" t="str">
        <f>IFERROR(IF(H160="ND","ND",XiuYue(((H160-基础页!$B$22)*基础页!$B$15/(C160*(1-O160%))),3,-1,9999)),"")</f>
        <v/>
      </c>
      <c r="O160" s="4"/>
    </row>
    <row r="161" ht="20.25" customHeight="1" spans="1:15">
      <c r="A161" s="3"/>
      <c r="I161" s="32" t="str">
        <f>IFERROR(IF(H161="ND","ND",XiuYue(((H161-基础页!$B$22)*基础页!$B$15/(C161*(1-O161%))),3,-1,9999)),"")</f>
        <v/>
      </c>
      <c r="O161" s="4"/>
    </row>
    <row r="162" ht="20.25" customHeight="1" spans="1:15">
      <c r="A162" s="3"/>
      <c r="I162" s="32" t="str">
        <f>IFERROR(IF(H162="ND","ND",XiuYue(((H162-基础页!$B$22)*基础页!$B$15/(C162*(1-O162%))),3,-1,9999)),"")</f>
        <v/>
      </c>
      <c r="O162" s="4"/>
    </row>
    <row r="163" ht="20.25" customHeight="1" spans="1:15">
      <c r="A163" s="3"/>
      <c r="I163" s="32" t="str">
        <f>IFERROR(IF(H163="ND","ND",XiuYue(((H163-基础页!$B$22)*基础页!$B$15/(C163*(1-O163%))),3,-1,9999)),"")</f>
        <v/>
      </c>
      <c r="O163" s="4"/>
    </row>
    <row r="164" ht="20.25" customHeight="1" spans="1:15">
      <c r="A164" s="3"/>
      <c r="I164" s="32" t="str">
        <f>IFERROR(IF(H164="ND","ND",XiuYue(((H164-基础页!$B$22)*基础页!$B$15/(C164*(1-O164%))),3,-1,9999)),"")</f>
        <v/>
      </c>
      <c r="O164" s="4"/>
    </row>
    <row r="165" ht="20.25" customHeight="1" spans="1:15">
      <c r="A165" s="3"/>
      <c r="I165" s="32" t="str">
        <f>IFERROR(IF(H165="ND","ND",XiuYue(((H165-基础页!$B$22)*基础页!$B$15/(C165*(1-O165%))),3,-1,9999)),"")</f>
        <v/>
      </c>
      <c r="O165" s="4"/>
    </row>
    <row r="166" ht="20.25" customHeight="1" spans="1:15">
      <c r="A166" s="3"/>
      <c r="I166" s="32" t="str">
        <f>IFERROR(IF(H166="ND","ND",XiuYue(((H166-基础页!$B$22)*基础页!$B$15/(C166*(1-O166%))),3,-1,9999)),"")</f>
        <v/>
      </c>
      <c r="O166" s="4"/>
    </row>
    <row r="167" ht="20.25" customHeight="1" spans="1:15">
      <c r="A167" s="3"/>
      <c r="I167" s="32" t="str">
        <f>IFERROR(IF(H167="ND","ND",XiuYue(((H167-基础页!$B$22)*基础页!$B$15/(C167*(1-O167%))),3,-1,9999)),"")</f>
        <v/>
      </c>
      <c r="O167" s="4"/>
    </row>
    <row r="168" ht="20.25" customHeight="1" spans="1:15">
      <c r="A168" s="3"/>
      <c r="I168" s="32" t="str">
        <f>IFERROR(IF(H168="ND","ND",XiuYue(((H168-基础页!$B$22)*基础页!$B$15/(C168*(1-O168%))),3,-1,9999)),"")</f>
        <v/>
      </c>
      <c r="O168" s="4"/>
    </row>
    <row r="169" ht="20.25" customHeight="1" spans="1:15">
      <c r="A169" s="3"/>
      <c r="I169" s="32" t="str">
        <f>IFERROR(IF(H169="ND","ND",XiuYue(((H169-基础页!$B$22)*基础页!$B$15/(C169*(1-O169%))),3,-1,9999)),"")</f>
        <v/>
      </c>
      <c r="O169" s="4"/>
    </row>
    <row r="170" ht="20.25" customHeight="1" spans="1:15">
      <c r="A170" s="3"/>
      <c r="I170" s="32" t="str">
        <f>IFERROR(IF(H170="ND","ND",XiuYue(((H170-基础页!$B$22)*基础页!$B$15/(C170*(1-O170%))),3,-1,9999)),"")</f>
        <v/>
      </c>
      <c r="O170" s="4"/>
    </row>
    <row r="171" ht="20.25" customHeight="1" spans="1:15">
      <c r="A171" s="3"/>
      <c r="I171" s="32" t="str">
        <f>IFERROR(IF(H171="ND","ND",XiuYue(((H171-基础页!$B$22)*基础页!$B$15/(C171*(1-O171%))),3,-1,9999)),"")</f>
        <v/>
      </c>
      <c r="O171" s="4"/>
    </row>
    <row r="172" ht="20.25" customHeight="1" spans="1:15">
      <c r="A172" s="3"/>
      <c r="I172" s="32" t="str">
        <f>IFERROR(IF(H172="ND","ND",XiuYue(((H172-基础页!$B$22)*基础页!$B$15/(C172*(1-O172%))),3,-1,9999)),"")</f>
        <v/>
      </c>
      <c r="O172" s="4"/>
    </row>
    <row r="173" ht="20.25" customHeight="1" spans="1:15">
      <c r="A173" s="3"/>
      <c r="I173" s="32" t="str">
        <f>IFERROR(IF(H173="ND","ND",XiuYue(((H173-基础页!$B$22)*基础页!$B$15/(C173*(1-O173%))),3,-1,9999)),"")</f>
        <v/>
      </c>
      <c r="O173" s="4"/>
    </row>
    <row r="174" ht="20.25" customHeight="1" spans="1:15">
      <c r="A174" s="3"/>
      <c r="I174" s="32" t="str">
        <f>IFERROR(IF(H174="ND","ND",XiuYue(((H174-基础页!$B$22)*基础页!$B$15/(C174*(1-O174%))),3,-1,9999)),"")</f>
        <v/>
      </c>
      <c r="O174" s="4"/>
    </row>
    <row r="175" ht="20.25" customHeight="1" spans="1:15">
      <c r="A175" s="3"/>
      <c r="I175" s="32" t="str">
        <f>IFERROR(IF(H175="ND","ND",XiuYue(((H175-基础页!$B$22)*基础页!$B$15/(C175*(1-O175%))),3,-1,9999)),"")</f>
        <v/>
      </c>
      <c r="O175" s="4"/>
    </row>
    <row r="176" ht="20.25" customHeight="1" spans="1:15">
      <c r="A176" s="3"/>
      <c r="I176" s="32" t="str">
        <f>IFERROR(IF(H176="ND","ND",XiuYue(((H176-基础页!$B$22)*基础页!$B$15/(C176*(1-O176%))),3,-1,9999)),"")</f>
        <v/>
      </c>
      <c r="O176" s="4"/>
    </row>
    <row r="177" ht="20.25" customHeight="1" spans="1:15">
      <c r="A177" s="3"/>
      <c r="I177" s="32" t="str">
        <f>IFERROR(IF(H177="ND","ND",XiuYue(((H177-基础页!$B$22)*基础页!$B$15/(C177*(1-O177%))),3,-1,9999)),"")</f>
        <v/>
      </c>
      <c r="O177" s="4"/>
    </row>
    <row r="178" ht="20.25" customHeight="1" spans="1:15">
      <c r="A178" s="3"/>
      <c r="I178" s="32" t="str">
        <f>IFERROR(IF(H178="ND","ND",XiuYue(((H178-基础页!$B$22)*基础页!$B$15/(C178*(1-O178%))),3,-1,9999)),"")</f>
        <v/>
      </c>
      <c r="O178" s="4"/>
    </row>
    <row r="179" ht="20.25" customHeight="1" spans="1:15">
      <c r="A179" s="3"/>
      <c r="I179" s="32" t="str">
        <f>IFERROR(IF(H179="ND","ND",XiuYue(((H179-基础页!$B$22)*基础页!$B$15/(C179*(1-O179%))),3,-1,9999)),"")</f>
        <v/>
      </c>
      <c r="O179" s="4"/>
    </row>
    <row r="180" ht="20.25" customHeight="1" spans="1:15">
      <c r="A180" s="3"/>
      <c r="I180" s="32" t="str">
        <f>IFERROR(IF(H180="ND","ND",XiuYue(((H180-基础页!$B$22)*基础页!$B$15/(C180*(1-O180%))),3,-1,9999)),"")</f>
        <v/>
      </c>
      <c r="O180" s="4"/>
    </row>
    <row r="181" ht="20.25" customHeight="1" spans="1:15">
      <c r="A181" s="3"/>
      <c r="I181" s="32" t="str">
        <f>IFERROR(IF(H181="ND","ND",XiuYue(((H181-基础页!$B$22)*基础页!$B$15/(C181*(1-O181%))),3,-1,9999)),"")</f>
        <v/>
      </c>
      <c r="O181" s="4"/>
    </row>
    <row r="182" ht="20.25" customHeight="1" spans="1:15">
      <c r="A182" s="3"/>
      <c r="I182" s="32" t="str">
        <f>IFERROR(IF(H182="ND","ND",XiuYue(((H182-基础页!$B$22)*基础页!$B$15/(C182*(1-O182%))),3,-1,9999)),"")</f>
        <v/>
      </c>
      <c r="O182" s="4"/>
    </row>
    <row r="183" ht="20.25" customHeight="1" spans="1:15">
      <c r="A183" s="3"/>
      <c r="I183" s="32" t="str">
        <f>IFERROR(IF(H183="ND","ND",XiuYue(((H183-基础页!$B$22)*基础页!$B$15/(C183*(1-O183%))),3,-1,9999)),"")</f>
        <v/>
      </c>
      <c r="O183" s="4"/>
    </row>
    <row r="184" ht="20.25" customHeight="1" spans="1:15">
      <c r="A184" s="3"/>
      <c r="I184" s="32" t="str">
        <f>IFERROR(IF(H184="ND","ND",XiuYue(((H184-基础页!$B$22)*基础页!$B$15/(C184*(1-O184%))),3,-1,9999)),"")</f>
        <v/>
      </c>
      <c r="O184" s="4"/>
    </row>
    <row r="185" ht="20.25" customHeight="1" spans="1:15">
      <c r="A185" s="3"/>
      <c r="I185" s="32" t="str">
        <f>IFERROR(IF(H185="ND","ND",XiuYue(((H185-基础页!$B$22)*基础页!$B$15/(C185*(1-O185%))),3,-1,9999)),"")</f>
        <v/>
      </c>
      <c r="O185" s="4"/>
    </row>
    <row r="186" ht="20.25" customHeight="1" spans="1:15">
      <c r="A186" s="3"/>
      <c r="I186" s="32" t="str">
        <f>IFERROR(IF(H186="ND","ND",XiuYue(((H186-基础页!$B$22)*基础页!$B$15/(C186*(1-O186%))),3,-1,9999)),"")</f>
        <v/>
      </c>
      <c r="O186" s="4"/>
    </row>
    <row r="187" ht="20.25" customHeight="1" spans="1:15">
      <c r="A187" s="3"/>
      <c r="I187" s="32" t="str">
        <f>IFERROR(IF(H187="ND","ND",XiuYue(((H187-基础页!$B$22)*基础页!$B$15/(C187*(1-O187%))),3,-1,9999)),"")</f>
        <v/>
      </c>
      <c r="O187" s="4"/>
    </row>
    <row r="188" ht="20.25" customHeight="1" spans="1:15">
      <c r="A188" s="3"/>
      <c r="I188" s="32" t="str">
        <f>IFERROR(IF(H188="ND","ND",XiuYue(((H188-基础页!$B$22)*基础页!$B$15/(C188*(1-O188%))),3,-1,9999)),"")</f>
        <v/>
      </c>
      <c r="O188" s="4"/>
    </row>
    <row r="189" ht="20.25" customHeight="1" spans="1:15">
      <c r="A189" s="3"/>
      <c r="I189" s="32" t="str">
        <f>IFERROR(IF(H189="ND","ND",XiuYue(((H189-基础页!$B$22)*基础页!$B$15/(C189*(1-O189%))),3,-1,9999)),"")</f>
        <v/>
      </c>
      <c r="O189" s="4"/>
    </row>
    <row r="190" ht="20.25" customHeight="1" spans="1:15">
      <c r="A190" s="3"/>
      <c r="I190" s="32" t="str">
        <f>IFERROR(IF(H190="ND","ND",XiuYue(((H190-基础页!$B$22)*基础页!$B$15/(C190*(1-O190%))),3,-1,9999)),"")</f>
        <v/>
      </c>
      <c r="O190" s="4"/>
    </row>
    <row r="191" ht="20.25" customHeight="1" spans="1:15">
      <c r="A191" s="3"/>
      <c r="I191" s="32" t="str">
        <f>IFERROR(IF(H191="ND","ND",XiuYue(((H191-基础页!$B$22)*基础页!$B$15/(C191*(1-O191%))),3,-1,9999)),"")</f>
        <v/>
      </c>
      <c r="O191" s="4"/>
    </row>
    <row r="192" ht="20.25" customHeight="1" spans="1:15">
      <c r="A192" s="3"/>
      <c r="I192" s="32" t="str">
        <f>IFERROR(IF(H192="ND","ND",XiuYue(((H192-基础页!$B$22)*基础页!$B$15/(C192*(1-O192%))),3,-1,9999)),"")</f>
        <v/>
      </c>
      <c r="O192" s="4"/>
    </row>
    <row r="193" ht="20.25" customHeight="1" spans="1:15">
      <c r="A193" s="3"/>
      <c r="I193" s="32" t="str">
        <f>IFERROR(IF(H193="ND","ND",XiuYue(((H193-基础页!$B$22)*基础页!$B$15/(C193*(1-O193%))),3,-1,9999)),"")</f>
        <v/>
      </c>
      <c r="O193" s="4"/>
    </row>
    <row r="194" ht="20.25" customHeight="1" spans="1:15">
      <c r="A194" s="3"/>
      <c r="I194" s="32" t="str">
        <f>IFERROR(IF(H194="ND","ND",XiuYue(((H194-基础页!$B$22)*基础页!$B$15/(C194*(1-O194%))),3,-1,9999)),"")</f>
        <v/>
      </c>
      <c r="O194" s="4"/>
    </row>
    <row r="195" ht="20.25" customHeight="1" spans="1:15">
      <c r="A195" s="3"/>
      <c r="I195" s="32" t="str">
        <f>IFERROR(IF(H195="ND","ND",XiuYue(((H195-基础页!$B$22)*基础页!$B$15/(C195*(1-O195%))),3,-1,9999)),"")</f>
        <v/>
      </c>
      <c r="O195" s="4"/>
    </row>
    <row r="196" ht="20.25" customHeight="1" spans="1:15">
      <c r="A196" s="3"/>
      <c r="I196" s="32" t="str">
        <f>IFERROR(IF(H196="ND","ND",XiuYue(((H196-基础页!$B$22)*基础页!$B$15/(C196*(1-O196%))),3,-1,9999)),"")</f>
        <v/>
      </c>
      <c r="O196" s="4"/>
    </row>
    <row r="197" ht="20.25" customHeight="1" spans="1:15">
      <c r="A197" s="3"/>
      <c r="I197" s="32" t="str">
        <f>IFERROR(IF(H197="ND","ND",XiuYue(((H197-基础页!$B$22)*基础页!$B$15/(C197*(1-O197%))),3,-1,9999)),"")</f>
        <v/>
      </c>
      <c r="O197" s="4"/>
    </row>
    <row r="198" ht="20.25" customHeight="1" spans="1:15">
      <c r="A198" s="3"/>
      <c r="I198" s="32" t="str">
        <f>IFERROR(IF(H198="ND","ND",XiuYue(((H198-基础页!$B$22)*基础页!$B$15/(C198*(1-O198%))),3,-1,9999)),"")</f>
        <v/>
      </c>
      <c r="O198" s="4"/>
    </row>
    <row r="199" ht="20.25" customHeight="1" spans="1:15">
      <c r="A199" s="3"/>
      <c r="I199" s="32" t="str">
        <f>IFERROR(IF(H199="ND","ND",XiuYue(((H199-基础页!$B$22)*基础页!$B$15/(C199*(1-O199%))),3,-1,9999)),"")</f>
        <v/>
      </c>
      <c r="O199" s="4"/>
    </row>
    <row r="200" ht="20.25" customHeight="1" spans="1:15">
      <c r="A200" s="3"/>
      <c r="I200" s="32" t="str">
        <f>IFERROR(IF(H200="ND","ND",XiuYue(((H200-基础页!$B$22)*基础页!$B$15/(C200*(1-O200%))),3,-1,9999)),"")</f>
        <v/>
      </c>
      <c r="O200" s="4"/>
    </row>
    <row r="201" ht="20.25" customHeight="1" spans="1:15">
      <c r="A201" s="3"/>
      <c r="I201" s="32" t="str">
        <f>IFERROR(IF(H201="ND","ND",XiuYue(((H201-基础页!$B$22)*基础页!$B$15/(C201*(1-O201%))),3,-1,9999)),"")</f>
        <v/>
      </c>
      <c r="O201" s="4"/>
    </row>
    <row r="202" ht="20.25" customHeight="1" spans="1:15">
      <c r="A202" s="3"/>
      <c r="I202" s="32" t="str">
        <f>IFERROR(IF(H202="ND","ND",XiuYue(((H202-基础页!$B$22)*基础页!$B$15/(C202*(1-O202%))),3,-1,9999)),"")</f>
        <v/>
      </c>
      <c r="O202" s="4"/>
    </row>
    <row r="203" ht="20.25" customHeight="1" spans="1:15">
      <c r="A203" s="3"/>
      <c r="I203" s="32" t="str">
        <f>IFERROR(IF(H203="ND","ND",XiuYue(((H203-基础页!$B$22)*基础页!$B$15/(C203*(1-O203%))),3,-1,9999)),"")</f>
        <v/>
      </c>
      <c r="O203" s="4"/>
    </row>
    <row r="204" ht="20.25" customHeight="1" spans="1:15">
      <c r="A204" s="3"/>
      <c r="I204" s="32" t="str">
        <f>IFERROR(IF(H204="ND","ND",XiuYue(((H204-基础页!$B$22)*基础页!$B$15/(C204*(1-O204%))),3,-1,9999)),"")</f>
        <v/>
      </c>
      <c r="O204" s="4"/>
    </row>
    <row r="205" ht="20.25" customHeight="1" spans="1:15">
      <c r="A205" s="3"/>
      <c r="I205" s="32" t="str">
        <f>IFERROR(IF(H205="ND","ND",XiuYue(((H205-基础页!$B$22)*基础页!$B$15/(C205*(1-O205%))),3,-1,9999)),"")</f>
        <v/>
      </c>
      <c r="O205" s="4"/>
    </row>
    <row r="206" ht="20.25" customHeight="1" spans="9:15">
      <c r="I206" s="32" t="str">
        <f>IFERROR(IF(H206="ND","ND",XiuYue(((H206-基础页!$B$22)*基础页!$B$15/(C206*(1-O206%))),3,-1,9999)),"")</f>
        <v/>
      </c>
      <c r="O206" s="4"/>
    </row>
    <row r="207" ht="20.25" customHeight="1" spans="9:15">
      <c r="I207" s="32" t="str">
        <f>IFERROR(IF(H207="ND","ND",XiuYue(((H207-基础页!$B$22)*基础页!$B$15/(C207*(1-O207%))),3,-1,9999)),"")</f>
        <v/>
      </c>
      <c r="O207" s="4"/>
    </row>
    <row r="208" ht="20.25" customHeight="1" spans="9:15">
      <c r="I208" s="32" t="str">
        <f>IFERROR(IF(H208="ND","ND",XiuYue(((H208-基础页!$B$22)*基础页!$B$15/(C208*(1-O208%))),3,-1,9999)),"")</f>
        <v/>
      </c>
      <c r="O208" s="4"/>
    </row>
    <row r="209" ht="20.25" customHeight="1" spans="9:15">
      <c r="I209" s="32" t="str">
        <f>IFERROR(IF(H209="ND","ND",XiuYue(((H209-基础页!$B$22)*基础页!$B$15/(C209*(1-O209%))),3,-1,9999)),"")</f>
        <v/>
      </c>
      <c r="O209" s="4"/>
    </row>
    <row r="210" ht="20.25" customHeight="1" spans="9:15">
      <c r="I210" s="32" t="str">
        <f>IFERROR(IF(H210="ND","ND",XiuYue(((H210-基础页!$B$22)*基础页!$B$15/(C210*(1-O210%))),3,-1,9999)),"")</f>
        <v/>
      </c>
      <c r="O210" s="4"/>
    </row>
    <row r="211" ht="20.25" customHeight="1" spans="9:15">
      <c r="I211" s="32" t="str">
        <f>IFERROR(IF(H211="ND","ND",XiuYue(((H211-基础页!$B$22)*基础页!$B$15/(C211*(1-O211%))),3,-1,9999)),"")</f>
        <v/>
      </c>
      <c r="O211" s="4"/>
    </row>
    <row r="212" ht="20.25" customHeight="1" spans="9:15">
      <c r="I212" s="32" t="str">
        <f>IFERROR(IF(H212="ND","ND",XiuYue(((H212-基础页!$B$22)*基础页!$B$15/(C212*(1-O212%))),3,-1,9999)),"")</f>
        <v/>
      </c>
      <c r="O212" s="4"/>
    </row>
    <row r="213" ht="20.25" customHeight="1" spans="9:15">
      <c r="I213" s="32" t="str">
        <f>IFERROR(IF(H213="ND","ND",XiuYue(((H213-基础页!$B$22)*基础页!$B$15/(C213*(1-O213%))),3,-1,9999)),"")</f>
        <v/>
      </c>
      <c r="O213" s="4"/>
    </row>
    <row r="214" ht="20.25" customHeight="1" spans="9:15">
      <c r="I214" s="32" t="str">
        <f>IFERROR(IF(H214="ND","ND",XiuYue(((H214-基础页!$B$22)*基础页!$B$15/(C214*(1-O214%))),3,-1,9999)),"")</f>
        <v/>
      </c>
      <c r="O214" s="4"/>
    </row>
    <row r="215" ht="20.25" customHeight="1" spans="9:15">
      <c r="I215" s="32" t="str">
        <f>IFERROR(IF(H215="ND","ND",XiuYue(((H215-基础页!$B$22)*基础页!$B$15/(C215*(1-O215%))),3,-1,9999)),"")</f>
        <v/>
      </c>
      <c r="O215" s="4"/>
    </row>
    <row r="216" ht="20.25" customHeight="1" spans="9:15">
      <c r="I216" s="32" t="str">
        <f>IFERROR(IF(H216="ND","ND",XiuYue(((H216-基础页!$B$22)*基础页!$B$15/(C216*(1-O216%))),3,-1,9999)),"")</f>
        <v/>
      </c>
      <c r="O216" s="4"/>
    </row>
    <row r="217" ht="20.25" customHeight="1" spans="9:15">
      <c r="I217" s="32" t="str">
        <f>IFERROR(IF(H217="ND","ND",XiuYue(((H217-基础页!$B$22)*基础页!$B$15/(C217*(1-O217%))),3,-1,9999)),"")</f>
        <v/>
      </c>
      <c r="O217" s="4"/>
    </row>
    <row r="218" ht="20.25" customHeight="1" spans="9:15">
      <c r="I218" s="32" t="str">
        <f>IFERROR(IF(H218="ND","ND",XiuYue(((H218-基础页!$B$22)*基础页!$B$15/(C218*(1-O218%))),3,-1,9999)),"")</f>
        <v/>
      </c>
      <c r="O218" s="4"/>
    </row>
    <row r="219" ht="20.25" customHeight="1" spans="9:15">
      <c r="I219" s="32" t="str">
        <f>IFERROR(IF(H219="ND","ND",XiuYue(((H219-基础页!$B$22)*基础页!$B$15/(C219*(1-O219%))),3,-1,9999)),"")</f>
        <v/>
      </c>
      <c r="O219" s="4"/>
    </row>
    <row r="220" ht="20.25" customHeight="1" spans="9:15">
      <c r="I220" s="32" t="str">
        <f>IFERROR(IF(H220="ND","ND",XiuYue(((H220-基础页!$B$22)*基础页!$B$15/(C220*(1-O220%))),3,-1,9999)),"")</f>
        <v/>
      </c>
      <c r="O220" s="4"/>
    </row>
    <row r="221" ht="20.25" customHeight="1" spans="9:15">
      <c r="I221" s="32" t="str">
        <f>IFERROR(IF(H221="ND","ND",XiuYue(((H221-基础页!$B$22)*基础页!$B$15/(C221*(1-O221%))),3,-1,9999)),"")</f>
        <v/>
      </c>
      <c r="O221" s="4"/>
    </row>
    <row r="222" ht="20.25" customHeight="1" spans="9:15">
      <c r="I222" s="32" t="str">
        <f>IFERROR(IF(H222="ND","ND",XiuYue(((H222-基础页!$B$22)*基础页!$B$15/(C222*(1-O222%))),3,-1,9999)),"")</f>
        <v/>
      </c>
      <c r="O222" s="4"/>
    </row>
    <row r="223" ht="20.25" customHeight="1" spans="9:15">
      <c r="I223" s="32" t="str">
        <f>IFERROR(IF(H223="ND","ND",XiuYue(((H223-基础页!$B$22)*基础页!$B$15/(C223*(1-O223%))),3,-1,9999)),"")</f>
        <v/>
      </c>
      <c r="O223" s="4"/>
    </row>
    <row r="224" ht="20.25" customHeight="1" spans="9:15">
      <c r="I224" s="32" t="str">
        <f>IFERROR(IF(H224="ND","ND",XiuYue(((H224-基础页!$B$22)*基础页!$B$15/(C224*(1-O224%))),3,-1,9999)),"")</f>
        <v/>
      </c>
      <c r="O224" s="4"/>
    </row>
    <row r="225" ht="20.25" customHeight="1" spans="9:15">
      <c r="I225" s="32" t="str">
        <f>IFERROR(IF(H225="ND","ND",XiuYue(((H225-基础页!$B$22)*基础页!$B$15/(C225*(1-O225%))),3,-1,9999)),"")</f>
        <v/>
      </c>
      <c r="O225" s="4"/>
    </row>
    <row r="226" ht="20.25" customHeight="1" spans="9:15">
      <c r="I226" s="32" t="str">
        <f>IFERROR(XiuYue((baoliuxiaoshuwei((H226-基础页!$B$22)*基础页!$B$15/(C226*(1-O226%)),9)),3,-1,1),"")</f>
        <v/>
      </c>
      <c r="O226" s="4"/>
    </row>
    <row r="227" ht="20.25" customHeight="1" spans="9:15">
      <c r="I227" s="32" t="str">
        <f>IFERROR(XiuYue((baoliuxiaoshuwei((H227-基础页!$B$22)*基础页!$B$15/(C227*(1-O227%)),9)),3,-1,1),"")</f>
        <v/>
      </c>
      <c r="O227" s="4"/>
    </row>
    <row r="228" ht="20.25" customHeight="1" spans="9:15">
      <c r="I228" s="32" t="str">
        <f>IFERROR(XiuYue((baoliuxiaoshuwei((H228-基础页!$B$22)*基础页!$B$15/(C228*(1-O228%)),9)),3,-1,1),"")</f>
        <v/>
      </c>
      <c r="O228" s="4"/>
    </row>
    <row r="229" ht="20.25" customHeight="1" spans="9:15">
      <c r="I229" s="32" t="str">
        <f>IFERROR(XiuYue((baoliuxiaoshuwei((H229-基础页!$B$22)*基础页!$B$15/(C229*(1-O229%)),9)),3,-1,1),"")</f>
        <v/>
      </c>
      <c r="O229" s="4"/>
    </row>
    <row r="230" ht="20.25" customHeight="1" spans="15:15">
      <c r="O230" s="4"/>
    </row>
    <row r="231" ht="20.25" customHeight="1" spans="15:15">
      <c r="O231" s="4"/>
    </row>
    <row r="232" ht="20.25" customHeight="1" spans="15:15">
      <c r="O232" s="4"/>
    </row>
    <row r="233" ht="20.25" customHeight="1" spans="15:15">
      <c r="O233" s="4"/>
    </row>
    <row r="234" ht="20.25" customHeight="1" spans="15:15">
      <c r="O234" s="4"/>
    </row>
    <row r="235" ht="20.25" customHeight="1" spans="15:15">
      <c r="O235" s="4"/>
    </row>
    <row r="236" ht="20.25" customHeight="1" spans="15:15">
      <c r="O236" s="4"/>
    </row>
    <row r="237" ht="20.25" customHeight="1" spans="15:15">
      <c r="O237" s="4"/>
    </row>
    <row r="238" ht="20.25" customHeight="1" spans="15:15">
      <c r="O238" s="4"/>
    </row>
    <row r="239" ht="20.25" customHeight="1" spans="15:15">
      <c r="O239" s="4"/>
    </row>
    <row r="240" ht="20.25" customHeight="1" spans="15:15">
      <c r="O240" s="4"/>
    </row>
    <row r="241" ht="20.25" customHeight="1" spans="15:15">
      <c r="O241" s="4"/>
    </row>
    <row r="242" ht="20.25" customHeight="1" spans="15:15">
      <c r="O242" s="4"/>
    </row>
    <row r="243" ht="20.25" customHeight="1" spans="15:15">
      <c r="O243" s="4"/>
    </row>
    <row r="244" ht="20.25" customHeight="1" spans="15:15">
      <c r="O244" s="4"/>
    </row>
    <row r="245" ht="20.25" customHeight="1" spans="15:15">
      <c r="O245" s="4"/>
    </row>
    <row r="246" ht="20.25" customHeight="1" spans="15:15">
      <c r="O246" s="4"/>
    </row>
    <row r="247" ht="20.25" customHeight="1" spans="15:15">
      <c r="O247" s="4"/>
    </row>
    <row r="248" ht="20.25" customHeight="1" spans="15:15">
      <c r="O248" s="4"/>
    </row>
    <row r="249" ht="20.25" customHeight="1" spans="15:15">
      <c r="O249" s="4"/>
    </row>
    <row r="250" ht="20.25" customHeight="1" spans="15:15">
      <c r="O250" s="4"/>
    </row>
    <row r="251" ht="20.25" customHeight="1" spans="15:15">
      <c r="O251" s="4"/>
    </row>
    <row r="252" ht="20.25" customHeight="1" spans="15:15">
      <c r="O252" s="4"/>
    </row>
    <row r="253" ht="20.25" customHeight="1" spans="15:15">
      <c r="O253" s="4"/>
    </row>
    <row r="254" ht="20.25" customHeight="1" spans="15:15">
      <c r="O254" s="4"/>
    </row>
    <row r="255" ht="20.25" customHeight="1" spans="15:15">
      <c r="O255" s="4"/>
    </row>
    <row r="256" ht="20.25" customHeight="1" spans="15:15">
      <c r="O256" s="4"/>
    </row>
    <row r="257" ht="20.25" customHeight="1" spans="15:15">
      <c r="O257" s="4"/>
    </row>
    <row r="258" ht="20.25" customHeight="1" spans="15:15">
      <c r="O258" s="4"/>
    </row>
    <row r="259" ht="20.25" customHeight="1" spans="15:15">
      <c r="O259" s="4"/>
    </row>
    <row r="260" ht="20.25" customHeight="1" spans="15:15">
      <c r="O260" s="4"/>
    </row>
    <row r="261" ht="20.25" customHeight="1" spans="15:15">
      <c r="O261" s="4"/>
    </row>
    <row r="262" ht="20.25" customHeight="1" spans="15:15">
      <c r="O262" s="4"/>
    </row>
    <row r="263" ht="20.25" customHeight="1" spans="15:15">
      <c r="O263" s="4"/>
    </row>
    <row r="264" ht="20.25" customHeight="1" spans="15:15">
      <c r="O264" s="4"/>
    </row>
    <row r="265" ht="20.25" customHeight="1" spans="15:15">
      <c r="O265" s="4"/>
    </row>
    <row r="266" ht="20.25" customHeight="1" spans="15:15">
      <c r="O266" s="4"/>
    </row>
    <row r="267" ht="20.25" customHeight="1" spans="15:15">
      <c r="O267" s="4"/>
    </row>
    <row r="268" ht="20.25" customHeight="1" spans="15:15">
      <c r="O268" s="4"/>
    </row>
    <row r="269" ht="20.25" customHeight="1" spans="15:15">
      <c r="O269" s="4"/>
    </row>
    <row r="270" ht="20.25" customHeight="1" spans="15:15">
      <c r="O270" s="4"/>
    </row>
    <row r="271" ht="20.25" customHeight="1" spans="15:15">
      <c r="O271" s="4"/>
    </row>
    <row r="272" ht="20.25" customHeight="1" spans="15:15">
      <c r="O272" s="4"/>
    </row>
    <row r="273" ht="20.25" customHeight="1" spans="15:15">
      <c r="O273" s="4"/>
    </row>
    <row r="274" ht="20.25" customHeight="1" spans="15:15">
      <c r="O274" s="4"/>
    </row>
    <row r="275" ht="20.25" customHeight="1" spans="15:15">
      <c r="O275" s="4"/>
    </row>
    <row r="276" ht="20.25" customHeight="1" spans="15:15">
      <c r="O276" s="4"/>
    </row>
    <row r="277" ht="20.25" customHeight="1" spans="15:15">
      <c r="O277" s="4"/>
    </row>
    <row r="278" ht="20.25" customHeight="1" spans="15:15">
      <c r="O278" s="4"/>
    </row>
    <row r="279" ht="20.25" customHeight="1" spans="15:15">
      <c r="O279" s="4"/>
    </row>
    <row r="280" ht="20.25" customHeight="1" spans="15:15">
      <c r="O280" s="4"/>
    </row>
    <row r="281" ht="20.25" customHeight="1" spans="15:15">
      <c r="O281" s="4"/>
    </row>
    <row r="282" ht="20.25" customHeight="1" spans="15:15">
      <c r="O282" s="4"/>
    </row>
    <row r="283" ht="20.25" customHeight="1" spans="15:15">
      <c r="O283" s="4"/>
    </row>
    <row r="284" ht="20.25" customHeight="1" spans="15:15">
      <c r="O284" s="4"/>
    </row>
    <row r="285" ht="20.25" customHeight="1" spans="15:15">
      <c r="O285" s="4"/>
    </row>
    <row r="286" ht="20.25" customHeight="1" spans="15:15">
      <c r="O286" s="4"/>
    </row>
    <row r="287" ht="20.25" customHeight="1" spans="15:15">
      <c r="O287" s="4"/>
    </row>
    <row r="288" ht="20.25" customHeight="1" spans="15:15">
      <c r="O288" s="4"/>
    </row>
    <row r="289" ht="20.25" customHeight="1" spans="15:15">
      <c r="O289" s="4"/>
    </row>
    <row r="290" ht="20.25" customHeight="1" spans="15:15">
      <c r="O290" s="4"/>
    </row>
    <row r="291" ht="20.25" customHeight="1" spans="15:15">
      <c r="O291" s="4"/>
    </row>
    <row r="292" ht="20.25" customHeight="1" spans="15:15">
      <c r="O292" s="4"/>
    </row>
    <row r="293" ht="20.25" customHeight="1" spans="15:15">
      <c r="O293" s="4"/>
    </row>
    <row r="294" ht="20.25" customHeight="1" spans="15:15">
      <c r="O294" s="4"/>
    </row>
    <row r="295" ht="20.25" customHeight="1" spans="15:15">
      <c r="O295" s="4"/>
    </row>
    <row r="296" ht="20.25" customHeight="1" spans="15:15">
      <c r="O296" s="4"/>
    </row>
    <row r="297" ht="20.25" customHeight="1" spans="15:15">
      <c r="O297" s="4"/>
    </row>
    <row r="298" ht="20.25" customHeight="1" spans="15:15">
      <c r="O298" s="4"/>
    </row>
    <row r="299" ht="20.25" customHeight="1" spans="15:15">
      <c r="O299" s="4"/>
    </row>
    <row r="300" ht="20.25" customHeight="1" spans="15:15">
      <c r="O300" s="4"/>
    </row>
    <row r="301" ht="20.25" customHeight="1" spans="15:15">
      <c r="O301" s="4"/>
    </row>
    <row r="302" ht="20.25" customHeight="1" spans="15:15">
      <c r="O302" s="4"/>
    </row>
    <row r="303" ht="20.25" customHeight="1" spans="15:15">
      <c r="O303" s="4"/>
    </row>
    <row r="304" ht="20.25" customHeight="1" spans="15:15">
      <c r="O304" s="4"/>
    </row>
    <row r="305" ht="20.25" customHeight="1" spans="15:15">
      <c r="O305" s="4"/>
    </row>
    <row r="306" ht="20.25" customHeight="1" spans="15:15">
      <c r="O306" s="4"/>
    </row>
    <row r="307" ht="20.25" customHeight="1" spans="15:15">
      <c r="O307" s="4"/>
    </row>
    <row r="308" ht="20.25" customHeight="1" spans="15:15">
      <c r="O308" s="4"/>
    </row>
    <row r="309" ht="20.25" customHeight="1" spans="15:15">
      <c r="O309" s="4"/>
    </row>
    <row r="310" ht="20.25" customHeight="1" spans="15:15">
      <c r="O310" s="4"/>
    </row>
    <row r="311" ht="20.25" customHeight="1" spans="15:15">
      <c r="O311" s="4"/>
    </row>
    <row r="312" ht="20.25" customHeight="1" spans="15:15">
      <c r="O312" s="4"/>
    </row>
    <row r="313" ht="20.25" customHeight="1" spans="15:15">
      <c r="O313" s="4"/>
    </row>
    <row r="314" ht="20.25" customHeight="1" spans="15:15">
      <c r="O314" s="4"/>
    </row>
    <row r="315" ht="20.25" customHeight="1" spans="15:15">
      <c r="O315" s="4"/>
    </row>
    <row r="316" ht="20.25" customHeight="1" spans="15:15">
      <c r="O316" s="4"/>
    </row>
    <row r="317" ht="20.25" customHeight="1" spans="15:15">
      <c r="O317" s="4"/>
    </row>
    <row r="318" ht="20.25" customHeight="1" spans="15:15">
      <c r="O318" s="4"/>
    </row>
    <row r="319" ht="20.25" customHeight="1" spans="15:15">
      <c r="O319" s="4"/>
    </row>
    <row r="320" ht="20.25" customHeight="1" spans="15:15">
      <c r="O320" s="4"/>
    </row>
    <row r="321" ht="20.25" customHeight="1" spans="15:15">
      <c r="O321" s="4"/>
    </row>
    <row r="322" ht="20.25" customHeight="1" spans="15:15">
      <c r="O322" s="4"/>
    </row>
    <row r="323" ht="20.25" customHeight="1" spans="15:15">
      <c r="O323" s="4"/>
    </row>
    <row r="324" ht="20.25" customHeight="1" spans="15:15">
      <c r="O324" s="4"/>
    </row>
    <row r="325" ht="20.25" customHeight="1" spans="15:15">
      <c r="O325" s="4"/>
    </row>
    <row r="326" ht="20.25" customHeight="1" spans="15:15">
      <c r="O326" s="4"/>
    </row>
    <row r="327" ht="20.25" customHeight="1" spans="15:15">
      <c r="O327" s="4"/>
    </row>
    <row r="328" ht="20.25" customHeight="1" spans="15:15">
      <c r="O328" s="4"/>
    </row>
    <row r="329" ht="20.25" customHeight="1" spans="15:15">
      <c r="O329" s="4"/>
    </row>
    <row r="330" ht="20.25" customHeight="1" spans="15:15">
      <c r="O330" s="4"/>
    </row>
    <row r="331" ht="20.25" customHeight="1" spans="15:15">
      <c r="O331" s="4"/>
    </row>
    <row r="332" ht="20.25" customHeight="1" spans="15:15">
      <c r="O332" s="4"/>
    </row>
    <row r="333" ht="20.25" customHeight="1" spans="15:15">
      <c r="O333" s="4"/>
    </row>
    <row r="334" ht="20.25" customHeight="1" spans="15:15">
      <c r="O334" s="4"/>
    </row>
    <row r="335" ht="20.25" customHeight="1" spans="15:15">
      <c r="O335" s="4"/>
    </row>
    <row r="336" ht="20.25" customHeight="1" spans="15:15">
      <c r="O336" s="4"/>
    </row>
    <row r="337" ht="20.25" customHeight="1" spans="15:15">
      <c r="O337" s="4"/>
    </row>
    <row r="338" ht="20.25" customHeight="1" spans="15:15">
      <c r="O338" s="4"/>
    </row>
    <row r="339" ht="20.25" customHeight="1" spans="15:15">
      <c r="O339" s="4"/>
    </row>
    <row r="340" ht="20.25" customHeight="1" spans="15:15">
      <c r="O340" s="4"/>
    </row>
    <row r="341" ht="20.25" customHeight="1" spans="15:15">
      <c r="O341" s="4"/>
    </row>
    <row r="342" ht="20.25" customHeight="1" spans="15:15">
      <c r="O342" s="4"/>
    </row>
    <row r="343" ht="20.25" customHeight="1" spans="15:15">
      <c r="O343" s="4"/>
    </row>
    <row r="344" ht="20.25" customHeight="1" spans="15:15">
      <c r="O344" s="4"/>
    </row>
    <row r="345" ht="20.25" customHeight="1" spans="15:15">
      <c r="O345" s="4"/>
    </row>
    <row r="346" ht="20.25" customHeight="1" spans="15:15">
      <c r="O346" s="4"/>
    </row>
    <row r="347" ht="20.25" customHeight="1" spans="15:15">
      <c r="O347" s="4"/>
    </row>
    <row r="348" ht="20.25" customHeight="1" spans="15:15">
      <c r="O348" s="4"/>
    </row>
    <row r="349" ht="20.25" customHeight="1" spans="15:15">
      <c r="O349" s="4"/>
    </row>
    <row r="350" ht="20.25" customHeight="1" spans="15:15">
      <c r="O350" s="4"/>
    </row>
    <row r="351" ht="20.25" customHeight="1" spans="15:15">
      <c r="O351" s="4"/>
    </row>
    <row r="352" ht="20.25" customHeight="1" spans="15:15">
      <c r="O352" s="4"/>
    </row>
    <row r="353" ht="20.25" customHeight="1" spans="15:15">
      <c r="O353" s="4"/>
    </row>
    <row r="354" ht="20.25" customHeight="1" spans="15:15">
      <c r="O354" s="4"/>
    </row>
    <row r="355" ht="20.25" customHeight="1" spans="15:15">
      <c r="O355" s="4"/>
    </row>
    <row r="356" ht="20.25" customHeight="1" spans="15:15">
      <c r="O356" s="4"/>
    </row>
    <row r="357" ht="20.25" customHeight="1" spans="15:15">
      <c r="O357" s="4"/>
    </row>
    <row r="358" ht="20.25" customHeight="1" spans="15:15">
      <c r="O358" s="4"/>
    </row>
    <row r="359" ht="20.25" customHeight="1" spans="15:15">
      <c r="O359" s="4"/>
    </row>
    <row r="360" ht="20.25" customHeight="1" spans="15:15">
      <c r="O360" s="4"/>
    </row>
    <row r="361" ht="20.25" customHeight="1" spans="15:15">
      <c r="O361" s="4"/>
    </row>
    <row r="362" ht="20.25" customHeight="1" spans="15:15">
      <c r="O362" s="4"/>
    </row>
    <row r="363" ht="20.25" customHeight="1" spans="15:15">
      <c r="O363" s="4"/>
    </row>
    <row r="364" ht="20.25" customHeight="1" spans="15:15">
      <c r="O364" s="4"/>
    </row>
    <row r="365" ht="20.25" customHeight="1" spans="15:15">
      <c r="O365" s="4"/>
    </row>
    <row r="366" ht="20.25" customHeight="1" spans="15:15">
      <c r="O366" s="4"/>
    </row>
    <row r="367" ht="20.25" customHeight="1" spans="15:15">
      <c r="O367" s="4"/>
    </row>
    <row r="368" ht="20.25" customHeight="1" spans="15:15">
      <c r="O368" s="4"/>
    </row>
    <row r="369" ht="20.25" customHeight="1" spans="15:15">
      <c r="O369" s="4"/>
    </row>
    <row r="370" ht="20.25" customHeight="1" spans="15:15">
      <c r="O370" s="4"/>
    </row>
    <row r="371" ht="20.25" customHeight="1" spans="15:15">
      <c r="O371" s="4"/>
    </row>
    <row r="372" ht="20.25" customHeight="1" spans="15:15">
      <c r="O372" s="4"/>
    </row>
    <row r="373" ht="20.25" customHeight="1" spans="15:15">
      <c r="O373" s="4"/>
    </row>
    <row r="374" spans="15:15">
      <c r="O374" s="4"/>
    </row>
    <row r="375" spans="15:15">
      <c r="O375" s="4"/>
    </row>
    <row r="376" spans="15:15">
      <c r="O376" s="4"/>
    </row>
    <row r="377" spans="15:15">
      <c r="O377" s="4"/>
    </row>
    <row r="378" spans="15:15">
      <c r="O378" s="4"/>
    </row>
    <row r="379" spans="15:15">
      <c r="O379" s="4"/>
    </row>
    <row r="380" spans="15:15">
      <c r="O380" s="4"/>
    </row>
    <row r="381" spans="15:15">
      <c r="O381" s="4"/>
    </row>
    <row r="382" spans="15:15">
      <c r="O382" s="4"/>
    </row>
    <row r="383" spans="15:15">
      <c r="O383" s="4"/>
    </row>
    <row r="384" spans="15:15">
      <c r="O384" s="4"/>
    </row>
    <row r="385" spans="15:15">
      <c r="O385" s="4"/>
    </row>
    <row r="386" spans="15:15">
      <c r="O386" s="4"/>
    </row>
    <row r="387" spans="15:15">
      <c r="O387" s="4"/>
    </row>
    <row r="388" spans="15:15">
      <c r="O388" s="4"/>
    </row>
    <row r="389" spans="15:15">
      <c r="O389" s="4"/>
    </row>
    <row r="390" spans="15:15">
      <c r="O390" s="4"/>
    </row>
    <row r="391" spans="15:15">
      <c r="O391" s="4"/>
    </row>
    <row r="392" spans="15:15">
      <c r="O392" s="4"/>
    </row>
    <row r="393" spans="15:15">
      <c r="O393" s="4"/>
    </row>
    <row r="394" spans="15:15">
      <c r="O394" s="4"/>
    </row>
    <row r="395" spans="15:15">
      <c r="O395" s="4"/>
    </row>
    <row r="396" spans="15:15">
      <c r="O396" s="4"/>
    </row>
    <row r="397" spans="15:15">
      <c r="O397" s="4"/>
    </row>
    <row r="398" spans="15:15">
      <c r="O398" s="4"/>
    </row>
    <row r="399" spans="15:15">
      <c r="O399" s="4"/>
    </row>
    <row r="400" spans="15:15">
      <c r="O400" s="4"/>
    </row>
    <row r="401" spans="15:15">
      <c r="O401" s="4"/>
    </row>
    <row r="402" spans="15:15">
      <c r="O402" s="4"/>
    </row>
    <row r="403" spans="15:15">
      <c r="O403" s="4"/>
    </row>
    <row r="404" spans="15:15">
      <c r="O404" s="4"/>
    </row>
    <row r="405" spans="15:15">
      <c r="O405" s="4"/>
    </row>
    <row r="406" spans="15:15">
      <c r="O406" s="4"/>
    </row>
    <row r="407" spans="15:15">
      <c r="O407" s="4"/>
    </row>
    <row r="408" spans="15:15">
      <c r="O408" s="4"/>
    </row>
    <row r="409" spans="15:15">
      <c r="O409" s="4"/>
    </row>
    <row r="410" spans="15:15">
      <c r="O410" s="4"/>
    </row>
    <row r="411" spans="15:15">
      <c r="O411" s="4"/>
    </row>
    <row r="412" spans="15:15">
      <c r="O412" s="4"/>
    </row>
    <row r="413" spans="15:15">
      <c r="O413" s="4"/>
    </row>
    <row r="414" spans="15:15">
      <c r="O414" s="4"/>
    </row>
    <row r="415" spans="15:15">
      <c r="O415" s="4"/>
    </row>
    <row r="416" spans="15:15">
      <c r="O416" s="4"/>
    </row>
    <row r="417" spans="15:15">
      <c r="O417" s="4"/>
    </row>
    <row r="418" spans="15:15">
      <c r="O418" s="4"/>
    </row>
    <row r="419" spans="15:15">
      <c r="O419" s="4"/>
    </row>
    <row r="420" spans="15:15">
      <c r="O420" s="4"/>
    </row>
    <row r="421" spans="15:15">
      <c r="O421" s="4"/>
    </row>
    <row r="422" spans="15:15">
      <c r="O422" s="4"/>
    </row>
    <row r="423" spans="15:15">
      <c r="O423" s="4"/>
    </row>
    <row r="424" spans="15:15">
      <c r="O424" s="4"/>
    </row>
    <row r="425" spans="15:15">
      <c r="O425" s="4"/>
    </row>
    <row r="426" spans="15:15">
      <c r="O426" s="4"/>
    </row>
    <row r="427" spans="15:15">
      <c r="O427" s="4"/>
    </row>
    <row r="428" spans="15:15">
      <c r="O428" s="4"/>
    </row>
    <row r="429" spans="15:15">
      <c r="O429" s="4"/>
    </row>
    <row r="430" spans="15:15">
      <c r="O430" s="4"/>
    </row>
    <row r="431" spans="15:15">
      <c r="O431" s="4"/>
    </row>
    <row r="432" spans="15:15">
      <c r="O432" s="4"/>
    </row>
    <row r="433" spans="15:15">
      <c r="O433" s="4"/>
    </row>
    <row r="434" spans="15:15">
      <c r="O434" s="4"/>
    </row>
    <row r="435" spans="15:15">
      <c r="O435" s="4"/>
    </row>
    <row r="436" spans="15:15">
      <c r="O436" s="4"/>
    </row>
    <row r="437" spans="15:15">
      <c r="O437" s="4"/>
    </row>
    <row r="438" spans="15:15">
      <c r="O438" s="4"/>
    </row>
    <row r="439" spans="15:15">
      <c r="O439" s="4"/>
    </row>
    <row r="440" spans="15:15">
      <c r="O440" s="4"/>
    </row>
    <row r="441" spans="15:15">
      <c r="O441" s="4"/>
    </row>
    <row r="442" spans="15:15">
      <c r="O442" s="4"/>
    </row>
    <row r="443" spans="15:15">
      <c r="O443" s="4"/>
    </row>
    <row r="444" spans="15:15">
      <c r="O444" s="4"/>
    </row>
    <row r="445" spans="15:15">
      <c r="O445" s="4"/>
    </row>
    <row r="446" spans="15:15">
      <c r="O446" s="4"/>
    </row>
    <row r="447" spans="15:15">
      <c r="O447" s="4"/>
    </row>
    <row r="448" spans="15:15">
      <c r="O448" s="4"/>
    </row>
    <row r="449" spans="15:15">
      <c r="O449" s="4"/>
    </row>
    <row r="450" spans="15:15">
      <c r="O450" s="4"/>
    </row>
    <row r="451" spans="15:15">
      <c r="O451" s="4"/>
    </row>
    <row r="452" spans="15:15">
      <c r="O452" s="4"/>
    </row>
    <row r="453" spans="15:15">
      <c r="O453" s="4"/>
    </row>
    <row r="454" spans="15:15">
      <c r="O454" s="4"/>
    </row>
    <row r="455" spans="15:15">
      <c r="O455" s="4"/>
    </row>
    <row r="456" spans="15:15">
      <c r="O456" s="4"/>
    </row>
    <row r="457" spans="15:15">
      <c r="O457" s="4"/>
    </row>
    <row r="458" spans="15:15">
      <c r="O458" s="4"/>
    </row>
    <row r="459" spans="15:15">
      <c r="O459" s="4"/>
    </row>
    <row r="460" spans="15:15">
      <c r="O460" s="4"/>
    </row>
    <row r="461" spans="15:15">
      <c r="O461" s="4"/>
    </row>
    <row r="462" spans="15:15">
      <c r="O462" s="4"/>
    </row>
    <row r="463" spans="15:15">
      <c r="O463" s="4"/>
    </row>
    <row r="464" spans="15:15">
      <c r="O464" s="4"/>
    </row>
    <row r="465" spans="15:15">
      <c r="O465" s="4"/>
    </row>
    <row r="466" spans="15:15">
      <c r="O466" s="4"/>
    </row>
    <row r="467" spans="15:15">
      <c r="O467" s="4"/>
    </row>
    <row r="468" spans="15:15">
      <c r="O468" s="4"/>
    </row>
    <row r="469" spans="15:15">
      <c r="O469" s="4"/>
    </row>
    <row r="470" spans="15:15">
      <c r="O470" s="4"/>
    </row>
    <row r="471" spans="15:15">
      <c r="O471" s="4"/>
    </row>
    <row r="472" spans="15:15">
      <c r="O472" s="4"/>
    </row>
    <row r="473" spans="15:15">
      <c r="O473" s="4"/>
    </row>
    <row r="474" spans="15:15">
      <c r="O474" s="4"/>
    </row>
    <row r="475" spans="15:15">
      <c r="O475" s="4"/>
    </row>
    <row r="476" spans="15:15">
      <c r="O476" s="4"/>
    </row>
    <row r="477" spans="15:15">
      <c r="O477" s="4"/>
    </row>
    <row r="478" spans="15:15">
      <c r="O478" s="4"/>
    </row>
    <row r="479" spans="15:15">
      <c r="O479" s="4"/>
    </row>
    <row r="480" spans="15:15">
      <c r="O480" s="4"/>
    </row>
    <row r="481" spans="15:15">
      <c r="O481" s="4"/>
    </row>
    <row r="482" spans="15:15">
      <c r="O482" s="4"/>
    </row>
    <row r="483" spans="15:15">
      <c r="O483" s="4"/>
    </row>
    <row r="484" spans="15:15">
      <c r="O484" s="4"/>
    </row>
    <row r="485" spans="15:15">
      <c r="O485" s="4"/>
    </row>
    <row r="486" spans="15:15">
      <c r="O486" s="4"/>
    </row>
    <row r="487" spans="15:15">
      <c r="O487" s="4"/>
    </row>
    <row r="488" spans="15:15">
      <c r="O488" s="4"/>
    </row>
    <row r="489" spans="15:15">
      <c r="O489" s="4"/>
    </row>
    <row r="490" spans="15:15">
      <c r="O490" s="4"/>
    </row>
    <row r="491" spans="15:15">
      <c r="O491" s="4"/>
    </row>
    <row r="492" spans="15:15">
      <c r="O492" s="4"/>
    </row>
    <row r="493" spans="15:15">
      <c r="O493" s="4"/>
    </row>
    <row r="494" spans="15:15">
      <c r="O494" s="4"/>
    </row>
    <row r="495" spans="15:15">
      <c r="O495" s="4"/>
    </row>
    <row r="496" spans="15:15">
      <c r="O496" s="4"/>
    </row>
    <row r="497" spans="15:15">
      <c r="O497" s="4"/>
    </row>
    <row r="498" spans="15:15">
      <c r="O498" s="4"/>
    </row>
    <row r="499" spans="15:15">
      <c r="O499" s="4"/>
    </row>
    <row r="500" spans="15:15">
      <c r="O500" s="4"/>
    </row>
    <row r="501" spans="15:15">
      <c r="O501" s="4"/>
    </row>
    <row r="502" spans="15:15">
      <c r="O502" s="4"/>
    </row>
    <row r="503" spans="15:15">
      <c r="O503" s="4"/>
    </row>
    <row r="504" spans="15:15">
      <c r="O504" s="4"/>
    </row>
    <row r="505" spans="15:15">
      <c r="O505" s="4"/>
    </row>
    <row r="506" spans="15:15">
      <c r="O506" s="4"/>
    </row>
    <row r="507" spans="15:15">
      <c r="O507" s="4"/>
    </row>
    <row r="508" spans="15:15">
      <c r="O508" s="4"/>
    </row>
    <row r="509" spans="15:15">
      <c r="O509" s="4"/>
    </row>
    <row r="510" spans="15:15">
      <c r="O510" s="4"/>
    </row>
    <row r="511" spans="15:15">
      <c r="O511" s="4"/>
    </row>
    <row r="512" spans="15:15">
      <c r="O512" s="4"/>
    </row>
    <row r="513" spans="15:15">
      <c r="O513" s="4"/>
    </row>
    <row r="514" spans="15:15">
      <c r="O514" s="4"/>
    </row>
    <row r="515" spans="15:15">
      <c r="O515" s="4"/>
    </row>
    <row r="516" spans="15:15">
      <c r="O516" s="4"/>
    </row>
    <row r="517" spans="15:15">
      <c r="O517" s="4"/>
    </row>
    <row r="518" spans="15:15">
      <c r="O518" s="4"/>
    </row>
    <row r="519" spans="15:15">
      <c r="O519" s="4"/>
    </row>
    <row r="520" spans="15:15">
      <c r="O520" s="4"/>
    </row>
    <row r="521" spans="15:15">
      <c r="O521" s="4"/>
    </row>
    <row r="522" spans="15:15">
      <c r="O522" s="4"/>
    </row>
    <row r="523" spans="15:15">
      <c r="O523" s="4"/>
    </row>
    <row r="524" spans="15:15">
      <c r="O524" s="4"/>
    </row>
    <row r="525" spans="15:15">
      <c r="O525" s="4"/>
    </row>
    <row r="526" spans="15:15">
      <c r="O526" s="4"/>
    </row>
    <row r="527" spans="15:15">
      <c r="O527" s="4"/>
    </row>
    <row r="528" spans="15:15">
      <c r="O528" s="4"/>
    </row>
    <row r="529" spans="15:15">
      <c r="O529" s="4"/>
    </row>
    <row r="530" spans="15:15">
      <c r="O530" s="4"/>
    </row>
    <row r="531" spans="15:15">
      <c r="O531" s="4"/>
    </row>
    <row r="532" spans="15:15">
      <c r="O532" s="4"/>
    </row>
    <row r="533" spans="15:15">
      <c r="O533" s="4"/>
    </row>
    <row r="534" spans="15:15">
      <c r="O534" s="4"/>
    </row>
    <row r="535" spans="15:15">
      <c r="O535" s="4"/>
    </row>
    <row r="536" spans="15:15">
      <c r="O536" s="4"/>
    </row>
    <row r="537" spans="15:15">
      <c r="O537" s="4"/>
    </row>
    <row r="538" spans="15:15">
      <c r="O538" s="4"/>
    </row>
    <row r="539" spans="15:15">
      <c r="O539" s="4"/>
    </row>
    <row r="540" spans="15:15">
      <c r="O540" s="4"/>
    </row>
    <row r="541" spans="15:15">
      <c r="O541" s="4"/>
    </row>
    <row r="542" spans="15:15">
      <c r="O542" s="4"/>
    </row>
    <row r="543" spans="15:15">
      <c r="O543" s="4"/>
    </row>
    <row r="544" spans="15:15">
      <c r="O544" s="4"/>
    </row>
    <row r="545" spans="15:15">
      <c r="O545" s="4"/>
    </row>
    <row r="546" spans="15:15">
      <c r="O546" s="4"/>
    </row>
    <row r="547" spans="15:15">
      <c r="O547" s="4"/>
    </row>
  </sheetData>
  <sheetProtection formatCells="0" formatColumns="0" formatRows="0" sort="0" autoFilter="0" pivotTables="0"/>
  <mergeCells count="19">
    <mergeCell ref="A1:P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  <mergeCell ref="P2:P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2021-10-26T08:56:01Z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