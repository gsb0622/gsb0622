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MZHLWT0wj5aRsAKBagWCK4f8gq3dkNECmbZg1XYpXTZVbCiZrT9CdXaBssTiZCCvARFuKVqMNiih1heEB81oLw==" workbookSaltValue="kIuhPFGVAL/J6h1RK22DQA==" workbookSpinCount="100000" lockStructure="1"/>
  <bookViews>
    <workbookView windowWidth="22943" windowHeight="10308"/>
  </bookViews>
  <sheets>
    <sheet name="分析记录" sheetId="1" r:id="rId1"/>
  </sheets>
  <calcPr calcId="144525"/>
</workbook>
</file>

<file path=xl/sharedStrings.xml><?xml version="1.0" encoding="utf-8"?>
<sst xmlns="http://schemas.openxmlformats.org/spreadsheetml/2006/main" count="31">
  <si>
    <t>福建省渔业资源监测中心</t>
  </si>
  <si>
    <t>原始数据记录表</t>
  </si>
  <si>
    <r>
      <rPr>
        <sz val="11"/>
        <color theme="1"/>
        <rFont val="宋体"/>
        <charset val="134"/>
      </rPr>
      <t>编</t>
    </r>
    <r>
      <rPr>
        <sz val="11"/>
        <color theme="1"/>
        <rFont val="Times New Roman"/>
        <charset val="134"/>
      </rPr>
      <t xml:space="preserve">  </t>
    </r>
    <r>
      <rPr>
        <sz val="11"/>
        <color theme="1"/>
        <rFont val="宋体"/>
        <charset val="134"/>
      </rPr>
      <t>号：</t>
    </r>
    <r>
      <rPr>
        <sz val="11"/>
        <color theme="1"/>
        <rFont val="Times New Roman"/>
        <charset val="134"/>
      </rPr>
      <t>S</t>
    </r>
    <r>
      <rPr>
        <sz val="11"/>
        <color theme="1"/>
        <rFont val="Times New Roman"/>
        <charset val="134"/>
      </rPr>
      <t>I13</t>
    </r>
  </si>
  <si>
    <t>菌落（细菌）总数检测原始记录</t>
  </si>
  <si>
    <t>任务号</t>
  </si>
  <si>
    <t>样品类别</t>
  </si>
  <si>
    <t>检测日期</t>
  </si>
  <si>
    <t>检测依据</t>
  </si>
  <si>
    <t>检测地点</t>
  </si>
  <si>
    <t>取样量(   )</t>
  </si>
  <si>
    <t>培养温度（℃）</t>
  </si>
  <si>
    <t>仪器名称</t>
  </si>
  <si>
    <t>仪器型号</t>
  </si>
  <si>
    <t>仪器编号</t>
  </si>
  <si>
    <t>天平编号</t>
  </si>
  <si>
    <t>序号</t>
  </si>
  <si>
    <t>样品编号</t>
  </si>
  <si>
    <t>稀释度</t>
  </si>
  <si>
    <t>菌落数1</t>
  </si>
  <si>
    <t>菌落数2</t>
  </si>
  <si>
    <t>菌落数3</t>
  </si>
  <si>
    <t>菌落数
平均值</t>
  </si>
  <si>
    <t>科学计数法</t>
  </si>
  <si>
    <t>检测结果( / ）</t>
  </si>
  <si>
    <t>/</t>
  </si>
  <si>
    <t>1:100</t>
  </si>
  <si>
    <t>1:1000</t>
  </si>
  <si>
    <t>1:10000</t>
  </si>
  <si>
    <t>检测人</t>
  </si>
  <si>
    <t>校对人</t>
  </si>
  <si>
    <t>审核人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</si>
</sst>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);[Red]\(0.00\)"/>
    <numFmt numFmtId="41" formatCode="_ * #,##0_ ;_ * \-#,##0_ ;_ * &quot;-&quot;_ ;_ @_ "/>
  </numFmts>
  <fonts count="24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sz val="11"/>
      <color theme="1"/>
      <name val="宋体"/>
      <charset val="134"/>
    </font>
    <font>
      <b/>
      <sz val="16"/>
      <color theme="1"/>
      <name val="黑体"/>
      <charset val="134"/>
    </font>
    <font>
      <b/>
      <sz val="16"/>
      <color theme="1"/>
      <name val="Times New Roman"/>
      <charset val="134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6" fillId="14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3" borderId="19" applyNumberFormat="0" applyFon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0" fillId="0" borderId="23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3" fillId="23" borderId="22" applyNumberFormat="0" applyAlignment="0" applyProtection="0">
      <alignment vertical="center"/>
    </xf>
    <xf numFmtId="0" fontId="22" fillId="23" borderId="20" applyNumberFormat="0" applyAlignment="0" applyProtection="0">
      <alignment vertical="center"/>
    </xf>
    <xf numFmtId="0" fontId="14" fillId="11" borderId="18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21" fillId="0" borderId="21" applyNumberFormat="0" applyFill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</cellStyleXfs>
  <cellXfs count="71">
    <xf numFmtId="0" fontId="0" fillId="0" borderId="0" xfId="0"/>
    <xf numFmtId="49" fontId="0" fillId="0" borderId="0" xfId="0" applyNumberFormat="1"/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" fillId="0" borderId="2" xfId="0" applyFont="1" applyBorder="1" applyAlignment="1">
      <alignment horizontal="left" vertical="center"/>
    </xf>
    <xf numFmtId="0" fontId="2" fillId="0" borderId="0" xfId="0" applyFont="1" applyBorder="1" applyAlignment="1">
      <alignment horizontal="right"/>
    </xf>
    <xf numFmtId="49" fontId="3" fillId="0" borderId="0" xfId="0" applyNumberFormat="1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8" xfId="0" applyNumberFormat="1" applyFont="1" applyFill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0" borderId="8" xfId="0" applyNumberFormat="1" applyFont="1" applyFill="1" applyBorder="1" applyAlignment="1">
      <alignment horizontal="center" vertical="center" wrapText="1"/>
    </xf>
    <xf numFmtId="49" fontId="1" fillId="0" borderId="10" xfId="0" applyNumberFormat="1" applyFont="1" applyBorder="1" applyAlignment="1">
      <alignment horizontal="center" vertical="center" wrapText="1"/>
    </xf>
    <xf numFmtId="49" fontId="2" fillId="0" borderId="11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2" fillId="0" borderId="14" xfId="0" applyNumberFormat="1" applyFont="1" applyBorder="1" applyAlignment="1">
      <alignment horizontal="center" vertical="center" wrapText="1"/>
    </xf>
    <xf numFmtId="49" fontId="2" fillId="0" borderId="11" xfId="0" applyNumberFormat="1" applyFont="1" applyFill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vertical="center" wrapText="1"/>
    </xf>
    <xf numFmtId="49" fontId="1" fillId="0" borderId="6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49" fontId="1" fillId="0" borderId="9" xfId="0" applyNumberFormat="1" applyFont="1" applyFill="1" applyBorder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1" fillId="0" borderId="13" xfId="0" applyNumberFormat="1" applyFont="1" applyFill="1" applyBorder="1" applyAlignment="1">
      <alignment horizontal="center" vertical="center"/>
    </xf>
    <xf numFmtId="49" fontId="1" fillId="0" borderId="14" xfId="0" applyNumberFormat="1" applyFont="1" applyFill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right"/>
    </xf>
    <xf numFmtId="49" fontId="1" fillId="0" borderId="0" xfId="0" applyNumberFormat="1" applyFont="1" applyBorder="1" applyAlignment="1">
      <alignment horizontal="right"/>
    </xf>
    <xf numFmtId="49" fontId="1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right"/>
    </xf>
    <xf numFmtId="49" fontId="0" fillId="0" borderId="1" xfId="0" applyNumberFormat="1" applyFont="1" applyBorder="1" applyAlignment="1">
      <alignment horizontal="right" vertic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12" xfId="0" applyNumberFormat="1" applyFont="1" applyFill="1" applyBorder="1" applyAlignment="1">
      <alignment horizontal="center" vertical="center" wrapText="1"/>
    </xf>
    <xf numFmtId="49" fontId="2" fillId="0" borderId="10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vertical="center" wrapText="1"/>
    </xf>
    <xf numFmtId="49" fontId="1" fillId="0" borderId="5" xfId="0" applyNumberFormat="1" applyFont="1" applyBorder="1" applyAlignment="1">
      <alignment vertical="center" wrapText="1"/>
    </xf>
    <xf numFmtId="49" fontId="1" fillId="0" borderId="6" xfId="0" applyNumberFormat="1" applyFont="1" applyBorder="1" applyAlignment="1">
      <alignment vertical="center" wrapText="1"/>
    </xf>
    <xf numFmtId="0" fontId="1" fillId="0" borderId="4" xfId="0" applyNumberFormat="1" applyFont="1" applyBorder="1" applyAlignment="1">
      <alignment vertical="center" wrapText="1"/>
    </xf>
    <xf numFmtId="0" fontId="1" fillId="0" borderId="5" xfId="0" applyNumberFormat="1" applyFont="1" applyBorder="1" applyAlignment="1">
      <alignment vertical="center" wrapText="1"/>
    </xf>
    <xf numFmtId="0" fontId="1" fillId="0" borderId="3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/>
    <xf numFmtId="176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V30"/>
  <sheetViews>
    <sheetView tabSelected="1" zoomScale="85" zoomScaleNormal="85" workbookViewId="0">
      <selection activeCell="L4" sqref="L4:O4"/>
    </sheetView>
  </sheetViews>
  <sheetFormatPr defaultColWidth="9" defaultRowHeight="14.4"/>
  <cols>
    <col min="1" max="1" width="5.77777777777778" customWidth="1"/>
    <col min="2" max="2" width="5" customWidth="1"/>
    <col min="3" max="3" width="20.3888888888889" customWidth="1"/>
    <col min="4" max="4" width="11.7777777777778" customWidth="1"/>
    <col min="5" max="5" width="7.66666666666667" customWidth="1"/>
    <col min="6" max="6" width="5.44444444444444" customWidth="1"/>
    <col min="7" max="7" width="4.11111111111111" customWidth="1"/>
    <col min="8" max="8" width="6.88888888888889" customWidth="1"/>
    <col min="9" max="9" width="8" customWidth="1"/>
    <col min="10" max="10" width="13.7777777777778" customWidth="1"/>
    <col min="11" max="11" width="13.6666666666667" customWidth="1"/>
    <col min="12" max="12" width="15.8888888888889" customWidth="1"/>
    <col min="13" max="13" width="15.7777777777778" customWidth="1"/>
    <col min="14" max="14" width="7.44444444444444" customWidth="1"/>
    <col min="15" max="15" width="8.77777777777778" customWidth="1"/>
  </cols>
  <sheetData>
    <row r="1" spans="1:15">
      <c r="A1" s="2" t="s">
        <v>0</v>
      </c>
      <c r="B1" s="2"/>
      <c r="C1" s="2"/>
      <c r="D1" s="2"/>
      <c r="E1" s="3"/>
      <c r="F1" s="4"/>
      <c r="G1" s="4"/>
      <c r="H1" s="4"/>
      <c r="I1" s="50" t="s">
        <v>1</v>
      </c>
      <c r="J1" s="50"/>
      <c r="K1" s="50"/>
      <c r="L1" s="50"/>
      <c r="M1" s="50"/>
      <c r="N1" s="50"/>
      <c r="O1" s="50"/>
    </row>
    <row r="2" ht="17.25" customHeight="1" spans="1:15">
      <c r="A2" s="5" t="s">
        <v>2</v>
      </c>
      <c r="B2" s="5"/>
      <c r="C2" s="5"/>
      <c r="D2" s="5"/>
      <c r="E2" s="5"/>
      <c r="F2" s="5"/>
      <c r="G2" s="6"/>
      <c r="H2" s="6"/>
      <c r="I2" s="51"/>
      <c r="J2" s="51"/>
      <c r="K2" s="51"/>
      <c r="L2" s="52"/>
      <c r="M2" s="52"/>
      <c r="N2" s="52"/>
      <c r="O2" s="52"/>
    </row>
    <row r="3" ht="24.9" customHeight="1" spans="1:15">
      <c r="A3" s="7" t="s">
        <v>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ht="20.1" customHeight="1" spans="1:15">
      <c r="A4" s="9" t="s">
        <v>4</v>
      </c>
      <c r="B4" s="10"/>
      <c r="C4" s="11"/>
      <c r="D4" s="12"/>
      <c r="E4" s="9" t="s">
        <v>5</v>
      </c>
      <c r="F4" s="9"/>
      <c r="G4" s="11"/>
      <c r="H4" s="13"/>
      <c r="I4" s="13"/>
      <c r="J4" s="12"/>
      <c r="K4" s="9" t="s">
        <v>6</v>
      </c>
      <c r="L4" s="10"/>
      <c r="M4" s="10"/>
      <c r="N4" s="10"/>
      <c r="O4" s="10"/>
    </row>
    <row r="5" ht="74" customHeight="1" spans="1:15">
      <c r="A5" s="9" t="s">
        <v>7</v>
      </c>
      <c r="B5" s="10"/>
      <c r="C5" s="14"/>
      <c r="D5" s="15" t="s">
        <v>8</v>
      </c>
      <c r="E5" s="9"/>
      <c r="F5" s="9"/>
      <c r="G5" s="9" t="s">
        <v>9</v>
      </c>
      <c r="H5" s="10"/>
      <c r="I5" s="10"/>
      <c r="J5" s="11"/>
      <c r="K5" s="12"/>
      <c r="L5" s="15" t="s">
        <v>10</v>
      </c>
      <c r="M5" s="53"/>
      <c r="N5" s="54"/>
      <c r="O5" s="55"/>
    </row>
    <row r="6" ht="39" customHeight="1" spans="1:15">
      <c r="A6" s="9" t="s">
        <v>11</v>
      </c>
      <c r="B6" s="10"/>
      <c r="C6" s="14"/>
      <c r="D6" s="15" t="s">
        <v>12</v>
      </c>
      <c r="E6" s="9"/>
      <c r="F6" s="9"/>
      <c r="G6" s="9" t="s">
        <v>13</v>
      </c>
      <c r="H6" s="10"/>
      <c r="I6" s="10"/>
      <c r="J6" s="11"/>
      <c r="K6" s="12"/>
      <c r="L6" s="15" t="s">
        <v>14</v>
      </c>
      <c r="M6" s="53"/>
      <c r="N6" s="54"/>
      <c r="O6" s="55"/>
    </row>
    <row r="7" s="1" customFormat="1" ht="20.1" customHeight="1" spans="1:22">
      <c r="A7" s="16" t="s">
        <v>15</v>
      </c>
      <c r="B7" s="17" t="s">
        <v>16</v>
      </c>
      <c r="C7" s="18"/>
      <c r="D7" s="16" t="s">
        <v>17</v>
      </c>
      <c r="E7" s="19" t="s">
        <v>18</v>
      </c>
      <c r="F7" s="20"/>
      <c r="G7" s="21"/>
      <c r="H7" s="22" t="s">
        <v>19</v>
      </c>
      <c r="I7" s="56"/>
      <c r="J7" s="57" t="s">
        <v>20</v>
      </c>
      <c r="K7" s="22" t="s">
        <v>21</v>
      </c>
      <c r="L7" s="56"/>
      <c r="M7" s="57" t="s">
        <v>22</v>
      </c>
      <c r="N7" s="22" t="s">
        <v>23</v>
      </c>
      <c r="O7" s="56"/>
      <c r="R7" s="68"/>
      <c r="V7" s="69"/>
    </row>
    <row r="8" s="1" customFormat="1" ht="20.1" customHeight="1" spans="1:22">
      <c r="A8" s="23"/>
      <c r="B8" s="24"/>
      <c r="C8" s="25"/>
      <c r="D8" s="23"/>
      <c r="E8" s="26"/>
      <c r="F8" s="27"/>
      <c r="G8" s="28"/>
      <c r="H8" s="29"/>
      <c r="I8" s="58"/>
      <c r="J8" s="59"/>
      <c r="K8" s="29"/>
      <c r="L8" s="58"/>
      <c r="M8" s="59"/>
      <c r="N8" s="29"/>
      <c r="O8" s="58"/>
      <c r="T8" s="68"/>
      <c r="V8" s="69"/>
    </row>
    <row r="9" s="1" customFormat="1" ht="21.75" customHeight="1" spans="1:22">
      <c r="A9" s="10"/>
      <c r="B9" s="30"/>
      <c r="C9" s="31"/>
      <c r="D9" s="32" t="s">
        <v>24</v>
      </c>
      <c r="E9" s="33"/>
      <c r="F9" s="33"/>
      <c r="G9" s="33"/>
      <c r="H9" s="34"/>
      <c r="I9" s="60"/>
      <c r="J9" s="34"/>
      <c r="K9" s="61"/>
      <c r="L9" s="62"/>
      <c r="M9" s="63"/>
      <c r="N9" s="30"/>
      <c r="O9" s="31"/>
      <c r="Q9" s="69"/>
      <c r="R9" s="70"/>
      <c r="V9" s="69"/>
    </row>
    <row r="10" s="1" customFormat="1" ht="21.75" customHeight="1" spans="1:15">
      <c r="A10" s="35"/>
      <c r="B10" s="36"/>
      <c r="C10" s="37"/>
      <c r="D10" s="32" t="s">
        <v>25</v>
      </c>
      <c r="E10" s="33"/>
      <c r="F10" s="33"/>
      <c r="G10" s="33"/>
      <c r="H10" s="34"/>
      <c r="I10" s="60"/>
      <c r="J10" s="34"/>
      <c r="K10" s="64" t="str">
        <f>IFERROR(IF(ISBLANK(E10),"",baoliuxiaoshuwei((E10+H10+J10)/3,0)),"")</f>
        <v/>
      </c>
      <c r="L10" s="65"/>
      <c r="M10" s="66" t="str">
        <f>IFERROR(xiuyue(K10*100,2,3,2),"")</f>
        <v/>
      </c>
      <c r="N10" s="36"/>
      <c r="O10" s="37"/>
    </row>
    <row r="11" s="1" customFormat="1" ht="21.75" customHeight="1" spans="1:15">
      <c r="A11" s="38"/>
      <c r="B11" s="39"/>
      <c r="C11" s="40"/>
      <c r="D11" s="32" t="s">
        <v>26</v>
      </c>
      <c r="E11" s="33"/>
      <c r="F11" s="33"/>
      <c r="G11" s="33"/>
      <c r="H11" s="34"/>
      <c r="I11" s="60"/>
      <c r="J11" s="34"/>
      <c r="K11" s="64" t="str">
        <f>IFERROR(IF(ISBLANK(E11),"",baoliuxiaoshuwei((E11+H11+J11)/3,0)),"")</f>
        <v/>
      </c>
      <c r="L11" s="65"/>
      <c r="M11" s="66" t="str">
        <f>IFERROR(xiuyue(K11*1000,2,3,2),"")</f>
        <v/>
      </c>
      <c r="N11" s="39"/>
      <c r="O11" s="40"/>
    </row>
    <row r="12" s="1" customFormat="1" ht="21.75" customHeight="1" spans="1:15">
      <c r="A12" s="41"/>
      <c r="B12" s="42"/>
      <c r="C12" s="43"/>
      <c r="D12" s="32" t="s">
        <v>27</v>
      </c>
      <c r="E12" s="33"/>
      <c r="F12" s="33"/>
      <c r="G12" s="33"/>
      <c r="H12" s="34"/>
      <c r="I12" s="60"/>
      <c r="J12" s="34"/>
      <c r="K12" s="64" t="str">
        <f>IFERROR(IF(ISBLANK(E12),"",baoliuxiaoshuwei((E12+H12+J12)/3,0)),"")</f>
        <v/>
      </c>
      <c r="L12" s="65"/>
      <c r="M12" s="66" t="str">
        <f>IFERROR(xiuyue(K12*10000,2,3,2),"")</f>
        <v/>
      </c>
      <c r="N12" s="42"/>
      <c r="O12" s="43"/>
    </row>
    <row r="13" s="1" customFormat="1" ht="21.75" customHeight="1" spans="1:15">
      <c r="A13" s="35"/>
      <c r="B13" s="36"/>
      <c r="C13" s="37"/>
      <c r="D13" s="32" t="s">
        <v>25</v>
      </c>
      <c r="E13" s="33"/>
      <c r="F13" s="33"/>
      <c r="G13" s="33"/>
      <c r="H13" s="34"/>
      <c r="I13" s="60"/>
      <c r="J13" s="34"/>
      <c r="K13" s="64" t="str">
        <f>IFERROR(IF(ISBLANK(E13),"",baoliuxiaoshuwei((E13+H13+J13)/3,0)),"")</f>
        <v/>
      </c>
      <c r="L13" s="65"/>
      <c r="M13" s="66" t="str">
        <f>IFERROR(xiuyue(K13*100,2,3,2),"")</f>
        <v/>
      </c>
      <c r="N13" s="36"/>
      <c r="O13" s="37"/>
    </row>
    <row r="14" s="1" customFormat="1" ht="21.75" customHeight="1" spans="1:15">
      <c r="A14" s="38"/>
      <c r="B14" s="39"/>
      <c r="C14" s="40"/>
      <c r="D14" s="32" t="s">
        <v>26</v>
      </c>
      <c r="E14" s="33"/>
      <c r="F14" s="33"/>
      <c r="G14" s="33"/>
      <c r="H14" s="34"/>
      <c r="I14" s="60"/>
      <c r="J14" s="34"/>
      <c r="K14" s="64" t="str">
        <f>IFERROR(IF(ISBLANK(E14),"",baoliuxiaoshuwei((E14+H14+J14)/3,0)),"")</f>
        <v/>
      </c>
      <c r="L14" s="65"/>
      <c r="M14" s="66" t="str">
        <f>IFERROR(xiuyue(K14*1000,2,3,2),"")</f>
        <v/>
      </c>
      <c r="N14" s="39"/>
      <c r="O14" s="40"/>
    </row>
    <row r="15" s="1" customFormat="1" ht="21.75" customHeight="1" spans="1:15">
      <c r="A15" s="41"/>
      <c r="B15" s="42"/>
      <c r="C15" s="43"/>
      <c r="D15" s="32" t="s">
        <v>27</v>
      </c>
      <c r="E15" s="33"/>
      <c r="F15" s="33"/>
      <c r="G15" s="33"/>
      <c r="H15" s="34"/>
      <c r="I15" s="60"/>
      <c r="J15" s="34"/>
      <c r="K15" s="64" t="str">
        <f>IFERROR(IF(ISBLANK(E15),"",baoliuxiaoshuwei((E15+H15+J15)/3,0)),"")</f>
        <v/>
      </c>
      <c r="L15" s="65"/>
      <c r="M15" s="66" t="str">
        <f>IFERROR(xiuyue(K15*10000,2,3,2),"")</f>
        <v/>
      </c>
      <c r="N15" s="42"/>
      <c r="O15" s="43"/>
    </row>
    <row r="16" s="1" customFormat="1" ht="21.75" customHeight="1" spans="1:15">
      <c r="A16" s="35"/>
      <c r="B16" s="36"/>
      <c r="C16" s="37"/>
      <c r="D16" s="32" t="s">
        <v>25</v>
      </c>
      <c r="E16" s="33"/>
      <c r="F16" s="33"/>
      <c r="G16" s="33"/>
      <c r="H16" s="34"/>
      <c r="I16" s="60"/>
      <c r="J16" s="34"/>
      <c r="K16" s="64" t="str">
        <f>IFERROR(IF(ISBLANK(E16),"",baoliuxiaoshuwei((E16+H16+J16)/3,0)),"")</f>
        <v/>
      </c>
      <c r="L16" s="65"/>
      <c r="M16" s="66" t="str">
        <f>IFERROR(xiuyue(K16*100,2,3,2),"")</f>
        <v/>
      </c>
      <c r="N16" s="36"/>
      <c r="O16" s="37"/>
    </row>
    <row r="17" s="1" customFormat="1" ht="21.75" customHeight="1" spans="1:15">
      <c r="A17" s="38"/>
      <c r="B17" s="39"/>
      <c r="C17" s="40"/>
      <c r="D17" s="32" t="s">
        <v>26</v>
      </c>
      <c r="E17" s="33"/>
      <c r="F17" s="33"/>
      <c r="G17" s="33"/>
      <c r="H17" s="34"/>
      <c r="I17" s="60"/>
      <c r="J17" s="34"/>
      <c r="K17" s="64" t="str">
        <f>IFERROR(IF(ISBLANK(E17),"",baoliuxiaoshuwei((E17+H17+J17)/3,0)),"")</f>
        <v/>
      </c>
      <c r="L17" s="65"/>
      <c r="M17" s="66" t="str">
        <f>IFERROR(xiuyue(K17*1000,2,3,2),"")</f>
        <v/>
      </c>
      <c r="N17" s="39"/>
      <c r="O17" s="40"/>
    </row>
    <row r="18" s="1" customFormat="1" ht="21.75" customHeight="1" spans="1:15">
      <c r="A18" s="41"/>
      <c r="B18" s="42"/>
      <c r="C18" s="43"/>
      <c r="D18" s="32" t="s">
        <v>27</v>
      </c>
      <c r="E18" s="33"/>
      <c r="F18" s="33"/>
      <c r="G18" s="33"/>
      <c r="H18" s="34"/>
      <c r="I18" s="60"/>
      <c r="J18" s="34"/>
      <c r="K18" s="64" t="str">
        <f>IFERROR(IF(ISBLANK(E18),"",baoliuxiaoshuwei((E18+H18+J18)/3,0)),"")</f>
        <v/>
      </c>
      <c r="L18" s="65"/>
      <c r="M18" s="66" t="str">
        <f>IFERROR(xiuyue(K18*10000,2,3,2),"")</f>
        <v/>
      </c>
      <c r="N18" s="42"/>
      <c r="O18" s="43"/>
    </row>
    <row r="19" s="1" customFormat="1" ht="21.75" customHeight="1" spans="1:15">
      <c r="A19" s="35"/>
      <c r="B19" s="36"/>
      <c r="C19" s="37"/>
      <c r="D19" s="32" t="s">
        <v>25</v>
      </c>
      <c r="E19" s="33"/>
      <c r="F19" s="33"/>
      <c r="G19" s="33"/>
      <c r="H19" s="34"/>
      <c r="I19" s="60"/>
      <c r="J19" s="34"/>
      <c r="K19" s="64" t="str">
        <f>IFERROR(IF(ISBLANK(E19),"",baoliuxiaoshuwei((E19+H19+J19)/3,0)),"")</f>
        <v/>
      </c>
      <c r="L19" s="65"/>
      <c r="M19" s="66" t="str">
        <f>IFERROR(xiuyue(K19*100,2,3,2),"")</f>
        <v/>
      </c>
      <c r="N19" s="36"/>
      <c r="O19" s="37"/>
    </row>
    <row r="20" s="1" customFormat="1" ht="21.75" customHeight="1" spans="1:15">
      <c r="A20" s="38"/>
      <c r="B20" s="39"/>
      <c r="C20" s="40"/>
      <c r="D20" s="32" t="s">
        <v>26</v>
      </c>
      <c r="E20" s="33"/>
      <c r="F20" s="33"/>
      <c r="G20" s="33"/>
      <c r="H20" s="34"/>
      <c r="I20" s="60"/>
      <c r="J20" s="34"/>
      <c r="K20" s="64" t="str">
        <f>IFERROR(IF(ISBLANK(E20),"",baoliuxiaoshuwei((E20+H20+J20)/3,0)),"")</f>
        <v/>
      </c>
      <c r="L20" s="65"/>
      <c r="M20" s="66" t="str">
        <f>IFERROR(xiuyue(K20*1000,2,3,2),"")</f>
        <v/>
      </c>
      <c r="N20" s="39"/>
      <c r="O20" s="40"/>
    </row>
    <row r="21" s="1" customFormat="1" ht="21.75" customHeight="1" spans="1:15">
      <c r="A21" s="41"/>
      <c r="B21" s="42"/>
      <c r="C21" s="43"/>
      <c r="D21" s="32" t="s">
        <v>27</v>
      </c>
      <c r="E21" s="33"/>
      <c r="F21" s="33"/>
      <c r="G21" s="33"/>
      <c r="H21" s="34"/>
      <c r="I21" s="60"/>
      <c r="J21" s="34"/>
      <c r="K21" s="64" t="str">
        <f>IFERROR(IF(ISBLANK(E21),"",baoliuxiaoshuwei((E21+H21+J21)/3,0)),"")</f>
        <v/>
      </c>
      <c r="L21" s="65"/>
      <c r="M21" s="66" t="str">
        <f>IFERROR(xiuyue(K21*10000,2,3,2),"")</f>
        <v/>
      </c>
      <c r="N21" s="42"/>
      <c r="O21" s="43"/>
    </row>
    <row r="22" s="1" customFormat="1" ht="21.75" customHeight="1" spans="1:15">
      <c r="A22" s="35"/>
      <c r="B22" s="36"/>
      <c r="C22" s="37"/>
      <c r="D22" s="32" t="s">
        <v>25</v>
      </c>
      <c r="E22" s="33"/>
      <c r="F22" s="33"/>
      <c r="G22" s="33"/>
      <c r="H22" s="34"/>
      <c r="I22" s="60"/>
      <c r="J22" s="34"/>
      <c r="K22" s="64" t="str">
        <f>IFERROR(IF(ISBLANK(E22),"",baoliuxiaoshuwei((E22+H22+J22)/3,0)),"")</f>
        <v/>
      </c>
      <c r="L22" s="65"/>
      <c r="M22" s="66" t="str">
        <f>IFERROR(xiuyue(K22*100,2,3,2),"")</f>
        <v/>
      </c>
      <c r="N22" s="36"/>
      <c r="O22" s="37"/>
    </row>
    <row r="23" s="1" customFormat="1" ht="21.75" customHeight="1" spans="1:15">
      <c r="A23" s="38"/>
      <c r="B23" s="39"/>
      <c r="C23" s="40"/>
      <c r="D23" s="32" t="s">
        <v>26</v>
      </c>
      <c r="E23" s="33"/>
      <c r="F23" s="33"/>
      <c r="G23" s="33"/>
      <c r="H23" s="34"/>
      <c r="I23" s="60"/>
      <c r="J23" s="34"/>
      <c r="K23" s="64" t="str">
        <f>IFERROR(IF(ISBLANK(E23),"",baoliuxiaoshuwei((E23+H23+J23)/3,0)),"")</f>
        <v/>
      </c>
      <c r="L23" s="65"/>
      <c r="M23" s="66" t="str">
        <f>IFERROR(xiuyue(K23*1000,2,3,2),"")</f>
        <v/>
      </c>
      <c r="N23" s="39"/>
      <c r="O23" s="40"/>
    </row>
    <row r="24" s="1" customFormat="1" ht="21.75" customHeight="1" spans="1:15">
      <c r="A24" s="41"/>
      <c r="B24" s="42"/>
      <c r="C24" s="43"/>
      <c r="D24" s="32" t="s">
        <v>27</v>
      </c>
      <c r="E24" s="33"/>
      <c r="F24" s="33"/>
      <c r="G24" s="33"/>
      <c r="H24" s="34"/>
      <c r="I24" s="60"/>
      <c r="J24" s="34"/>
      <c r="K24" s="64" t="str">
        <f>IFERROR(IF(ISBLANK(E24),"",baoliuxiaoshuwei((E24+H24+J24)/3,0)),"")</f>
        <v/>
      </c>
      <c r="L24" s="65"/>
      <c r="M24" s="66" t="str">
        <f>IFERROR(xiuyue(K24*10000,2,3,2),"")</f>
        <v/>
      </c>
      <c r="N24" s="42"/>
      <c r="O24" s="43"/>
    </row>
    <row r="25" s="1" customFormat="1" ht="21.75" customHeight="1" spans="1:15">
      <c r="A25" s="35"/>
      <c r="B25" s="36"/>
      <c r="C25" s="37"/>
      <c r="D25" s="32" t="s">
        <v>25</v>
      </c>
      <c r="E25" s="33"/>
      <c r="F25" s="33"/>
      <c r="G25" s="33"/>
      <c r="H25" s="34"/>
      <c r="I25" s="60"/>
      <c r="J25" s="34"/>
      <c r="K25" s="64" t="str">
        <f>IFERROR(IF(ISBLANK(E25),"",baoliuxiaoshuwei((E25+H25+J25)/3,0)),"")</f>
        <v/>
      </c>
      <c r="L25" s="65"/>
      <c r="M25" s="66" t="str">
        <f>IFERROR(xiuyue(K25*100,2,3,2),"")</f>
        <v/>
      </c>
      <c r="N25" s="36"/>
      <c r="O25" s="37"/>
    </row>
    <row r="26" s="1" customFormat="1" ht="21.75" customHeight="1" spans="1:15">
      <c r="A26" s="38"/>
      <c r="B26" s="39"/>
      <c r="C26" s="40"/>
      <c r="D26" s="32" t="s">
        <v>26</v>
      </c>
      <c r="E26" s="33"/>
      <c r="F26" s="33"/>
      <c r="G26" s="33"/>
      <c r="H26" s="34"/>
      <c r="I26" s="60"/>
      <c r="J26" s="34"/>
      <c r="K26" s="64" t="str">
        <f>IFERROR(IF(ISBLANK(E26),"",baoliuxiaoshuwei((E26+H26+J26)/3,0)),"")</f>
        <v/>
      </c>
      <c r="L26" s="65"/>
      <c r="M26" s="66" t="str">
        <f>IFERROR(xiuyue(K26*1000,2,3,2),"")</f>
        <v/>
      </c>
      <c r="N26" s="39"/>
      <c r="O26" s="40"/>
    </row>
    <row r="27" s="1" customFormat="1" ht="21.75" customHeight="1" spans="1:15">
      <c r="A27" s="41"/>
      <c r="B27" s="42"/>
      <c r="C27" s="43"/>
      <c r="D27" s="32" t="s">
        <v>27</v>
      </c>
      <c r="E27" s="33"/>
      <c r="F27" s="33"/>
      <c r="G27" s="33"/>
      <c r="H27" s="34"/>
      <c r="I27" s="60"/>
      <c r="J27" s="34"/>
      <c r="K27" s="64" t="str">
        <f>IFERROR(IF(ISBLANK(E27),"",baoliuxiaoshuwei((E27+H27+J27)/3,0)),"")</f>
        <v/>
      </c>
      <c r="L27" s="65"/>
      <c r="M27" s="66" t="str">
        <f>IFERROR(xiuyue(K27*10000,2,3,2),"")</f>
        <v/>
      </c>
      <c r="N27" s="42"/>
      <c r="O27" s="43"/>
    </row>
    <row r="28" ht="18.9" customHeight="1" spans="1:1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ht="30" customHeight="1" spans="1:15">
      <c r="A29" s="45" t="s">
        <v>28</v>
      </c>
      <c r="B29" s="46"/>
      <c r="C29" s="47"/>
      <c r="D29" s="47"/>
      <c r="E29" s="45" t="s">
        <v>29</v>
      </c>
      <c r="F29" s="48"/>
      <c r="G29" s="48"/>
      <c r="H29" s="48"/>
      <c r="I29" s="48"/>
      <c r="J29" s="67"/>
      <c r="K29" s="45" t="s">
        <v>30</v>
      </c>
      <c r="L29" s="47"/>
      <c r="M29" s="47"/>
      <c r="N29" s="47"/>
      <c r="O29" s="47"/>
    </row>
    <row r="30" ht="2.25" customHeight="1" spans="1: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</row>
  </sheetData>
  <sheetProtection formatCells="0" formatColumns="0" formatRows="0" sort="0" autoFilter="0" pivotTables="0"/>
  <mergeCells count="113">
    <mergeCell ref="A1:D1"/>
    <mergeCell ref="I1:O1"/>
    <mergeCell ref="A2:F2"/>
    <mergeCell ref="G2:I2"/>
    <mergeCell ref="L2:O2"/>
    <mergeCell ref="A3:O3"/>
    <mergeCell ref="A4:B4"/>
    <mergeCell ref="C4:D4"/>
    <mergeCell ref="E4:F4"/>
    <mergeCell ref="G4:J4"/>
    <mergeCell ref="L4:O4"/>
    <mergeCell ref="A5:B5"/>
    <mergeCell ref="E5:F5"/>
    <mergeCell ref="G5:I5"/>
    <mergeCell ref="J5:K5"/>
    <mergeCell ref="M5:O5"/>
    <mergeCell ref="A6:B6"/>
    <mergeCell ref="E6:F6"/>
    <mergeCell ref="G6:I6"/>
    <mergeCell ref="J6:K6"/>
    <mergeCell ref="M6:O6"/>
    <mergeCell ref="B9:C9"/>
    <mergeCell ref="E9:G9"/>
    <mergeCell ref="H9:I9"/>
    <mergeCell ref="K9:L9"/>
    <mergeCell ref="N9:O9"/>
    <mergeCell ref="E10:G10"/>
    <mergeCell ref="H10:I10"/>
    <mergeCell ref="K10:L10"/>
    <mergeCell ref="E11:G11"/>
    <mergeCell ref="H11:I11"/>
    <mergeCell ref="K11:L11"/>
    <mergeCell ref="E12:G12"/>
    <mergeCell ref="H12:I12"/>
    <mergeCell ref="K12:L12"/>
    <mergeCell ref="E13:G13"/>
    <mergeCell ref="H13:I13"/>
    <mergeCell ref="K13:L13"/>
    <mergeCell ref="E14:G14"/>
    <mergeCell ref="H14:I14"/>
    <mergeCell ref="K14:L14"/>
    <mergeCell ref="E15:G15"/>
    <mergeCell ref="H15:I15"/>
    <mergeCell ref="K15:L15"/>
    <mergeCell ref="E16:G16"/>
    <mergeCell ref="H16:I16"/>
    <mergeCell ref="K16:L16"/>
    <mergeCell ref="E17:G17"/>
    <mergeCell ref="H17:I17"/>
    <mergeCell ref="K17:L17"/>
    <mergeCell ref="E18:G18"/>
    <mergeCell ref="H18:I18"/>
    <mergeCell ref="K18:L18"/>
    <mergeCell ref="E19:G19"/>
    <mergeCell ref="H19:I19"/>
    <mergeCell ref="K19:L19"/>
    <mergeCell ref="E20:G20"/>
    <mergeCell ref="H20:I20"/>
    <mergeCell ref="K20:L20"/>
    <mergeCell ref="E21:G21"/>
    <mergeCell ref="H21:I21"/>
    <mergeCell ref="K21:L21"/>
    <mergeCell ref="E22:G22"/>
    <mergeCell ref="H22:I22"/>
    <mergeCell ref="K22:L22"/>
    <mergeCell ref="E23:G23"/>
    <mergeCell ref="H23:I23"/>
    <mergeCell ref="K23:L23"/>
    <mergeCell ref="E24:G24"/>
    <mergeCell ref="H24:I24"/>
    <mergeCell ref="K24:L24"/>
    <mergeCell ref="E25:G25"/>
    <mergeCell ref="H25:I25"/>
    <mergeCell ref="K25:L25"/>
    <mergeCell ref="E26:G26"/>
    <mergeCell ref="H26:I26"/>
    <mergeCell ref="K26:L26"/>
    <mergeCell ref="E27:G27"/>
    <mergeCell ref="H27:I27"/>
    <mergeCell ref="K27:L27"/>
    <mergeCell ref="A28:O28"/>
    <mergeCell ref="A29:B29"/>
    <mergeCell ref="C29:D29"/>
    <mergeCell ref="F29:I29"/>
    <mergeCell ref="L29:O29"/>
    <mergeCell ref="A30:O30"/>
    <mergeCell ref="A7:A8"/>
    <mergeCell ref="A10:A12"/>
    <mergeCell ref="A13:A15"/>
    <mergeCell ref="A16:A18"/>
    <mergeCell ref="A19:A21"/>
    <mergeCell ref="A22:A24"/>
    <mergeCell ref="A25:A27"/>
    <mergeCell ref="D7:D8"/>
    <mergeCell ref="J7:J8"/>
    <mergeCell ref="M7:M8"/>
    <mergeCell ref="B13:C15"/>
    <mergeCell ref="N13:O15"/>
    <mergeCell ref="B16:C18"/>
    <mergeCell ref="N16:O18"/>
    <mergeCell ref="B19:C21"/>
    <mergeCell ref="N19:O21"/>
    <mergeCell ref="B22:C24"/>
    <mergeCell ref="N22:O24"/>
    <mergeCell ref="E7:G8"/>
    <mergeCell ref="B25:C27"/>
    <mergeCell ref="N25:O27"/>
    <mergeCell ref="B7:C8"/>
    <mergeCell ref="H7:I8"/>
    <mergeCell ref="N7:O8"/>
    <mergeCell ref="K7:L8"/>
    <mergeCell ref="B10:C12"/>
    <mergeCell ref="N10:O12"/>
  </mergeCells>
  <printOptions horizontalCentered="1"/>
  <pageMargins left="0.313888888888889" right="0.313888888888889" top="0.747916666666667" bottom="0.747916666666667" header="0.313888888888889" footer="0.313888888888889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