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Password="E9CD" lockStructure="1"/>
  <bookViews>
    <workbookView windowWidth="22943" windowHeight="10308"/>
  </bookViews>
  <sheets>
    <sheet name="基础页" sheetId="5" r:id="rId1"/>
    <sheet name="分析记录" sheetId="6" r:id="rId2"/>
  </sheets>
  <calcPr calcId="144525"/>
</workbook>
</file>

<file path=xl/sharedStrings.xml><?xml version="1.0" encoding="utf-8"?>
<sst xmlns="http://schemas.openxmlformats.org/spreadsheetml/2006/main" count="82">
  <si>
    <r>
      <rPr>
        <b/>
        <sz val="11"/>
        <color theme="0"/>
        <rFont val="宋体"/>
        <charset val="134"/>
      </rPr>
      <t>基本信息</t>
    </r>
  </si>
  <si>
    <t xml:space="preserve"> </t>
  </si>
  <si>
    <t>模板编号</t>
  </si>
  <si>
    <t>科学</t>
  </si>
  <si>
    <t>严谨</t>
  </si>
  <si>
    <t>任务号</t>
  </si>
  <si>
    <t>任务名称</t>
  </si>
  <si>
    <t>样品类别</t>
  </si>
  <si>
    <t>安全</t>
  </si>
  <si>
    <t>高效</t>
  </si>
  <si>
    <t>检测地点</t>
  </si>
  <si>
    <t>检测方法</t>
  </si>
  <si>
    <t>温度(℃)</t>
  </si>
  <si>
    <t>湿度(%)</t>
  </si>
  <si>
    <t>检出限</t>
  </si>
  <si>
    <r>
      <rPr>
        <b/>
        <sz val="11"/>
        <color theme="1"/>
        <rFont val="宋体"/>
        <charset val="134"/>
      </rPr>
      <t>说明：</t>
    </r>
  </si>
  <si>
    <r>
      <rPr>
        <sz val="11"/>
        <color theme="0" tint="-0.0499893185216834"/>
        <rFont val="Times New Roman"/>
        <charset val="134"/>
      </rPr>
      <t xml:space="preserve"> </t>
    </r>
    <r>
      <rPr>
        <sz val="11"/>
        <color theme="0" tint="-0.0499893185216834"/>
        <rFont val="宋体"/>
        <charset val="134"/>
      </rPr>
      <t>气相色谱仪</t>
    </r>
    <r>
      <rPr>
        <sz val="11"/>
        <color theme="0" tint="-0.0499893185216834"/>
        <rFont val="Times New Roman"/>
        <charset val="134"/>
      </rPr>
      <t>AS004</t>
    </r>
  </si>
  <si>
    <t xml:space="preserve"> Agilent 6890N</t>
  </si>
  <si>
    <t>定量限</t>
  </si>
  <si>
    <r>
      <rPr>
        <sz val="11"/>
        <color rgb="FFFF0000"/>
        <rFont val="宋体"/>
        <charset val="134"/>
      </rPr>
      <t>为需填写内容</t>
    </r>
  </si>
  <si>
    <r>
      <rPr>
        <sz val="11"/>
        <color theme="0" tint="-0.0499893185216834"/>
        <rFont val="Times New Roman"/>
        <charset val="134"/>
      </rPr>
      <t xml:space="preserve"> </t>
    </r>
    <r>
      <rPr>
        <sz val="11"/>
        <color theme="0" tint="-0.0499893185216834"/>
        <rFont val="宋体"/>
        <charset val="134"/>
      </rPr>
      <t>气相色谱仪</t>
    </r>
    <r>
      <rPr>
        <sz val="11"/>
        <color theme="0" tint="-0.0499893185216834"/>
        <rFont val="Times New Roman"/>
        <charset val="134"/>
      </rPr>
      <t>AS471</t>
    </r>
  </si>
  <si>
    <t xml:space="preserve"> Clarus 680</t>
  </si>
  <si>
    <t>仪器名称及编号</t>
  </si>
  <si>
    <r>
      <rPr>
        <sz val="11"/>
        <color rgb="FFFF0000"/>
        <rFont val="宋体"/>
        <charset val="134"/>
      </rPr>
      <t>为不需要填写</t>
    </r>
  </si>
  <si>
    <r>
      <rPr>
        <sz val="11"/>
        <color theme="0" tint="-0.0499893185216834"/>
        <rFont val="宋体"/>
        <charset val="134"/>
      </rPr>
      <t xml:space="preserve"> 气相色谱仪</t>
    </r>
    <r>
      <rPr>
        <sz val="11"/>
        <color theme="0" tint="-0.0499893185216834"/>
        <rFont val="Times New Roman"/>
        <charset val="134"/>
      </rPr>
      <t>AS530</t>
    </r>
  </si>
  <si>
    <t>NexisGC-2030</t>
  </si>
  <si>
    <t>仪器型号</t>
  </si>
  <si>
    <t>SH-Rtx-1(30m×0.25mm×0.25μm)</t>
  </si>
  <si>
    <r>
      <rPr>
        <sz val="11"/>
        <color rgb="FFFF0000"/>
        <rFont val="宋体"/>
        <charset val="134"/>
      </rPr>
      <t>为质控模块</t>
    </r>
  </si>
  <si>
    <r>
      <rPr>
        <sz val="11"/>
        <color theme="0" tint="-0.0499893185216834"/>
        <rFont val="Times New Roman"/>
        <charset val="134"/>
      </rPr>
      <t xml:space="preserve">  </t>
    </r>
    <r>
      <rPr>
        <sz val="11"/>
        <color theme="0" tint="-0.0499893185216834"/>
        <rFont val="宋体"/>
        <charset val="134"/>
      </rPr>
      <t>气相色谱仪</t>
    </r>
    <r>
      <rPr>
        <sz val="11"/>
        <color theme="0" tint="-0.0499893185216834"/>
        <rFont val="Times New Roman"/>
        <charset val="134"/>
      </rPr>
      <t>AS007</t>
    </r>
  </si>
  <si>
    <t>Agilent6890N</t>
  </si>
  <si>
    <t>检测日期</t>
  </si>
  <si>
    <t>天平编号</t>
  </si>
  <si>
    <t>HP-5 (30m×0.32mm×0.25μm)</t>
  </si>
  <si>
    <r>
      <rPr>
        <sz val="11"/>
        <color theme="0" tint="-0.0499893185216834"/>
        <rFont val="宋体"/>
        <charset val="134"/>
      </rPr>
      <t>气质联用仪</t>
    </r>
    <r>
      <rPr>
        <sz val="11"/>
        <color theme="0" tint="-0.0499893185216834"/>
        <rFont val="Times New Roman"/>
        <charset val="134"/>
      </rPr>
      <t>AS340</t>
    </r>
  </si>
  <si>
    <t xml:space="preserve">   Agilent7890B/5977A</t>
  </si>
  <si>
    <r>
      <rPr>
        <sz val="11"/>
        <color theme="1"/>
        <rFont val="宋体"/>
        <charset val="134"/>
      </rPr>
      <t>定容体积V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(mL)</t>
    </r>
  </si>
  <si>
    <t>DB-1701(30m×0.25mm×0.25μm)</t>
  </si>
  <si>
    <r>
      <rPr>
        <sz val="11"/>
        <color theme="0" tint="-0.0499893185216834"/>
        <rFont val="宋体"/>
        <charset val="134"/>
      </rPr>
      <t>气质联用仪</t>
    </r>
    <r>
      <rPr>
        <sz val="11"/>
        <color theme="0" tint="-0.0499893185216834"/>
        <rFont val="Times New Roman"/>
        <charset val="134"/>
      </rPr>
      <t>AS117</t>
    </r>
  </si>
  <si>
    <t xml:space="preserve">  Agilent6890N/5975B</t>
  </si>
  <si>
    <t>色谱条件</t>
  </si>
  <si>
    <t>色谱柱</t>
  </si>
  <si>
    <t>进样口温度(℃)</t>
  </si>
  <si>
    <t>进样方式</t>
  </si>
  <si>
    <t>检测器温度(℃)</t>
  </si>
  <si>
    <t>不分流进样</t>
  </si>
  <si>
    <t>流速(mL/min)</t>
  </si>
  <si>
    <r>
      <rPr>
        <sz val="11"/>
        <color theme="1"/>
        <rFont val="宋体"/>
        <charset val="134"/>
      </rPr>
      <t>进样体积(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L)</t>
    </r>
  </si>
  <si>
    <r>
      <rPr>
        <sz val="11"/>
        <color theme="0" tint="-0.0499893185216834"/>
        <rFont val="宋体"/>
        <charset val="134"/>
      </rPr>
      <t>分流进样（分流比</t>
    </r>
    <r>
      <rPr>
        <sz val="11"/>
        <color theme="0" tint="-0.0499893185216834"/>
        <rFont val="Times New Roman"/>
        <charset val="134"/>
      </rPr>
      <t xml:space="preserve">  :  </t>
    </r>
    <r>
      <rPr>
        <sz val="11"/>
        <color theme="0" tint="-0.0499893185216834"/>
        <rFont val="宋体"/>
        <charset val="134"/>
      </rPr>
      <t>）</t>
    </r>
  </si>
  <si>
    <t>柱温程序</t>
  </si>
  <si>
    <t>标准溶液</t>
  </si>
  <si>
    <t>标准工作溶液浓度(   )</t>
  </si>
  <si>
    <t>标准工作液编号</t>
  </si>
  <si>
    <t>内标及加入量</t>
  </si>
  <si>
    <t>标准工作液有效期</t>
  </si>
  <si>
    <r>
      <rPr>
        <sz val="11"/>
        <color theme="1"/>
        <rFont val="宋体"/>
        <charset val="134"/>
      </rPr>
      <t>试剂空白C</t>
    </r>
    <r>
      <rPr>
        <vertAlign val="subscript"/>
        <sz val="11"/>
        <color theme="1"/>
        <rFont val="宋体"/>
        <charset val="134"/>
      </rPr>
      <t>0</t>
    </r>
  </si>
  <si>
    <t>计算公式</t>
  </si>
  <si>
    <r>
      <rPr>
        <sz val="11"/>
        <color theme="1"/>
        <rFont val="宋体"/>
        <charset val="134"/>
      </rPr>
      <t>X=(C</t>
    </r>
    <r>
      <rPr>
        <vertAlign val="subscript"/>
        <sz val="11"/>
        <color theme="1"/>
        <rFont val="宋体"/>
        <charset val="134"/>
      </rPr>
      <t>S</t>
    </r>
    <r>
      <rPr>
        <sz val="11"/>
        <color theme="1"/>
        <rFont val="宋体"/>
        <charset val="134"/>
      </rPr>
      <t>-C</t>
    </r>
    <r>
      <rPr>
        <vertAlign val="subscript"/>
        <sz val="11"/>
        <color theme="1"/>
        <rFont val="宋体"/>
        <charset val="134"/>
      </rPr>
      <t>O</t>
    </r>
    <r>
      <rPr>
        <sz val="11"/>
        <color theme="1"/>
        <rFont val="宋体"/>
        <charset val="134"/>
      </rPr>
      <t>)×V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÷m</t>
    </r>
  </si>
  <si>
    <t>签名</t>
  </si>
  <si>
    <t>检测人</t>
  </si>
  <si>
    <t>校核人</t>
  </si>
  <si>
    <t>审核人</t>
  </si>
  <si>
    <t>检测信息</t>
  </si>
  <si>
    <t>序号</t>
  </si>
  <si>
    <t>样品编号</t>
  </si>
  <si>
    <t>取样量(  )</t>
  </si>
  <si>
    <t>检测项目</t>
  </si>
  <si>
    <t>定性判定</t>
  </si>
  <si>
    <t>定量结果</t>
  </si>
  <si>
    <t>质控</t>
  </si>
  <si>
    <t>备注</t>
  </si>
  <si>
    <t>保留时间（min）</t>
  </si>
  <si>
    <t>是否阳性</t>
  </si>
  <si>
    <t>样液测定结果
Cs（   ）</t>
  </si>
  <si>
    <t>样品残留量
X（   ）</t>
  </si>
  <si>
    <t>标样推荐值/加标浓度</t>
  </si>
  <si>
    <r>
      <rPr>
        <sz val="11"/>
        <color theme="1"/>
        <rFont val="宋体"/>
        <charset val="134"/>
      </rPr>
      <t>加标体积</t>
    </r>
    <r>
      <rPr>
        <sz val="11"/>
        <color theme="1"/>
        <rFont val="Times New Roman"/>
        <charset val="134"/>
      </rPr>
      <t xml:space="preserve">
(μL)</t>
    </r>
  </si>
  <si>
    <t>允许值</t>
  </si>
  <si>
    <r>
      <rPr>
        <sz val="11"/>
        <rFont val="宋体"/>
        <charset val="134"/>
      </rPr>
      <t>相对偏差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相对误差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回收率</t>
    </r>
  </si>
  <si>
    <t>结果</t>
  </si>
  <si>
    <t>样品</t>
  </si>
  <si>
    <t>标液</t>
  </si>
</sst>
</file>

<file path=xl/styles.xml><?xml version="1.0" encoding="utf-8"?>
<styleSheet xmlns="http://schemas.openxmlformats.org/spreadsheetml/2006/main">
  <numFmts count="7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6" formatCode="0.0_ "/>
    <numFmt numFmtId="177" formatCode="0.0_ ;[Red]\-0.0\ "/>
    <numFmt numFmtId="178" formatCode="0.0"/>
  </numFmts>
  <fonts count="38">
    <font>
      <sz val="11"/>
      <color theme="1"/>
      <name val="宋体"/>
      <charset val="134"/>
      <scheme val="minor"/>
    </font>
    <font>
      <sz val="11"/>
      <color theme="1"/>
      <name val="Times New Roman"/>
      <charset val="134"/>
    </font>
    <font>
      <b/>
      <sz val="11"/>
      <color theme="0"/>
      <name val="Times New Roman"/>
      <charset val="134"/>
    </font>
    <font>
      <sz val="11"/>
      <name val="宋体"/>
      <charset val="134"/>
    </font>
    <font>
      <sz val="11"/>
      <name val="Times New Roman"/>
      <charset val="134"/>
    </font>
    <font>
      <sz val="11"/>
      <color theme="1"/>
      <name val="宋体"/>
      <charset val="134"/>
    </font>
    <font>
      <sz val="36"/>
      <color theme="0"/>
      <name val="华文行楷"/>
      <charset val="134"/>
    </font>
    <font>
      <sz val="48"/>
      <color theme="0"/>
      <name val="华文行楷"/>
      <charset val="134"/>
    </font>
    <font>
      <sz val="11"/>
      <color theme="0" tint="-0.0499893185216834"/>
      <name val="Times New Roman"/>
      <charset val="134"/>
    </font>
    <font>
      <sz val="11"/>
      <color theme="0" tint="-0.0499893185216834"/>
      <name val="宋体"/>
      <charset val="134"/>
    </font>
    <font>
      <sz val="11"/>
      <color rgb="FFFF0000"/>
      <name val="Times New Roman"/>
      <charset val="134"/>
    </font>
    <font>
      <b/>
      <sz val="11"/>
      <color theme="0"/>
      <name val="宋体"/>
      <charset val="134"/>
    </font>
    <font>
      <sz val="36"/>
      <color theme="1"/>
      <name val="华文行楷"/>
      <charset val="134"/>
    </font>
    <font>
      <b/>
      <sz val="11"/>
      <color theme="1"/>
      <name val="Times New Roman"/>
      <charset val="134"/>
    </font>
    <font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0"/>
      <name val="Arial"/>
      <charset val="134"/>
    </font>
    <font>
      <b/>
      <sz val="11"/>
      <color theme="1"/>
      <name val="宋体"/>
      <charset val="134"/>
    </font>
    <font>
      <sz val="11"/>
      <color rgb="FFFF0000"/>
      <name val="宋体"/>
      <charset val="134"/>
    </font>
    <font>
      <vertAlign val="subscript"/>
      <sz val="11"/>
      <color theme="1"/>
      <name val="宋体"/>
      <charset val="134"/>
    </font>
    <font>
      <sz val="11"/>
      <color theme="1"/>
      <name val="Calibri"/>
      <charset val="134"/>
    </font>
  </fonts>
  <fills count="40">
    <fill>
      <patternFill patternType="none"/>
    </fill>
    <fill>
      <patternFill patternType="gray125"/>
    </fill>
    <fill>
      <patternFill patternType="solid">
        <fgColor rgb="FFF5F6F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rgb="FFF2F3F8"/>
        <bgColor indexed="64"/>
      </patternFill>
    </fill>
    <fill>
      <patternFill patternType="solid">
        <fgColor theme="3" tint="0.399884029663991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25" fillId="23" borderId="1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0" fillId="20" borderId="18" applyNumberFormat="0" applyFont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4" fillId="0" borderId="17" applyNumberFormat="0" applyFill="0" applyAlignment="0" applyProtection="0">
      <alignment vertical="center"/>
    </xf>
    <xf numFmtId="0" fontId="27" fillId="0" borderId="17" applyNumberFormat="0" applyFill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5" fillId="10" borderId="14" applyNumberFormat="0" applyAlignment="0" applyProtection="0">
      <alignment vertical="center"/>
    </xf>
    <xf numFmtId="0" fontId="29" fillId="10" borderId="19" applyNumberFormat="0" applyAlignment="0" applyProtection="0">
      <alignment vertical="center"/>
    </xf>
    <xf numFmtId="0" fontId="26" fillId="26" borderId="20" applyNumberFormat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30" fillId="0" borderId="21" applyNumberFormat="0" applyFill="0" applyAlignment="0" applyProtection="0">
      <alignment vertical="center"/>
    </xf>
    <xf numFmtId="0" fontId="17" fillId="0" borderId="15" applyNumberFormat="0" applyFill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4" fillId="37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4" borderId="0" applyNumberFormat="0" applyBorder="0" applyAlignment="0" applyProtection="0">
      <alignment vertical="center"/>
    </xf>
    <xf numFmtId="0" fontId="14" fillId="38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33" fillId="0" borderId="0"/>
  </cellStyleXfs>
  <cellXfs count="109">
    <xf numFmtId="0" fontId="0" fillId="0" borderId="0" xfId="0"/>
    <xf numFmtId="49" fontId="1" fillId="2" borderId="0" xfId="0" applyNumberFormat="1" applyFont="1" applyFill="1" applyBorder="1" applyAlignment="1" applyProtection="1">
      <alignment vertical="center"/>
    </xf>
    <xf numFmtId="49" fontId="1" fillId="2" borderId="0" xfId="0" applyNumberFormat="1" applyFont="1" applyFill="1" applyBorder="1" applyProtection="1"/>
    <xf numFmtId="49" fontId="1" fillId="3" borderId="1" xfId="0" applyNumberFormat="1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6" borderId="2" xfId="49" applyNumberFormat="1" applyFont="1" applyFill="1" applyBorder="1" applyAlignment="1" applyProtection="1">
      <alignment horizontal="left" vertical="center"/>
      <protection locked="0"/>
    </xf>
    <xf numFmtId="49" fontId="2" fillId="6" borderId="0" xfId="49" applyNumberFormat="1" applyFont="1" applyFill="1" applyBorder="1" applyAlignment="1" applyProtection="1">
      <alignment horizontal="left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3" xfId="0" applyNumberFormat="1" applyFont="1" applyFill="1" applyBorder="1" applyAlignment="1" applyProtection="1">
      <alignment horizontal="center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 wrapText="1"/>
      <protection locked="0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4" xfId="0" applyNumberFormat="1" applyFont="1" applyFill="1" applyBorder="1" applyAlignment="1" applyProtection="1">
      <alignment horizontal="center" vertical="center"/>
      <protection locked="0"/>
    </xf>
    <xf numFmtId="0" fontId="3" fillId="7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5" xfId="0" applyNumberFormat="1" applyFont="1" applyFill="1" applyBorder="1" applyAlignment="1" applyProtection="1">
      <alignment horizontal="center" vertical="center"/>
      <protection locked="0"/>
    </xf>
    <xf numFmtId="0" fontId="3" fillId="5" borderId="6" xfId="0" applyNumberFormat="1" applyFont="1" applyFill="1" applyBorder="1" applyAlignment="1" applyProtection="1">
      <alignment horizontal="center" vertical="center" wrapText="1"/>
      <protection locked="0"/>
    </xf>
    <xf numFmtId="0" fontId="3" fillId="5" borderId="7" xfId="0" applyNumberFormat="1" applyFont="1" applyFill="1" applyBorder="1" applyAlignment="1" applyProtection="1">
      <alignment horizontal="center" vertical="center" wrapText="1"/>
      <protection locked="0"/>
    </xf>
    <xf numFmtId="0" fontId="3" fillId="5" borderId="8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3" xfId="0" applyNumberFormat="1" applyFont="1" applyFill="1" applyBorder="1" applyAlignment="1" applyProtection="1">
      <alignment horizontal="center" vertical="center" wrapText="1"/>
      <protection locked="0"/>
    </xf>
    <xf numFmtId="0" fontId="3" fillId="5" borderId="3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3" xfId="0" applyFont="1" applyFill="1" applyBorder="1" applyAlignment="1" applyProtection="1">
      <alignment horizontal="center" vertical="center" wrapText="1"/>
      <protection locked="0"/>
    </xf>
    <xf numFmtId="0" fontId="3" fillId="5" borderId="3" xfId="0" applyNumberFormat="1" applyFont="1" applyFill="1" applyBorder="1" applyAlignment="1" applyProtection="1">
      <alignment horizontal="center" vertical="center"/>
      <protection locked="0"/>
    </xf>
    <xf numFmtId="49" fontId="3" fillId="7" borderId="4" xfId="0" applyNumberFormat="1" applyFont="1" applyFill="1" applyBorder="1" applyAlignment="1" applyProtection="1">
      <alignment horizontal="center" vertical="center" wrapText="1"/>
      <protection locked="0"/>
    </xf>
    <xf numFmtId="0" fontId="3" fillId="5" borderId="5" xfId="0" applyNumberFormat="1" applyFont="1" applyFill="1" applyBorder="1" applyAlignment="1" applyProtection="1">
      <alignment horizontal="center" vertical="center" wrapText="1"/>
      <protection locked="0"/>
    </xf>
    <xf numFmtId="0" fontId="1" fillId="5" borderId="5" xfId="0" applyFont="1" applyFill="1" applyBorder="1" applyAlignment="1" applyProtection="1">
      <alignment horizontal="center" vertical="center" wrapText="1"/>
      <protection locked="0"/>
    </xf>
    <xf numFmtId="0" fontId="4" fillId="5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5" xfId="0" applyNumberFormat="1" applyFont="1" applyFill="1" applyBorder="1" applyAlignment="1" applyProtection="1">
      <alignment horizontal="center" vertical="center"/>
      <protection locked="0"/>
    </xf>
    <xf numFmtId="49" fontId="3" fillId="7" borderId="5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0" xfId="0" applyNumberFormat="1" applyFont="1" applyFill="1" applyBorder="1" applyAlignment="1" applyProtection="1">
      <alignment horizontal="left" vertical="top"/>
    </xf>
    <xf numFmtId="49" fontId="1" fillId="2" borderId="0" xfId="0" applyNumberFormat="1" applyFont="1" applyFill="1" applyBorder="1" applyAlignment="1" applyProtection="1">
      <alignment horizontal="center"/>
    </xf>
    <xf numFmtId="49" fontId="2" fillId="6" borderId="1" xfId="0" applyNumberFormat="1" applyFont="1" applyFill="1" applyBorder="1" applyAlignment="1" applyProtection="1">
      <alignment horizontal="left" vertical="center"/>
      <protection locked="0"/>
    </xf>
    <xf numFmtId="0" fontId="2" fillId="8" borderId="0" xfId="0" applyNumberFormat="1" applyFont="1" applyFill="1" applyBorder="1" applyAlignment="1" applyProtection="1">
      <alignment horizontal="left" vertical="center"/>
      <protection locked="0"/>
    </xf>
    <xf numFmtId="49" fontId="1" fillId="8" borderId="0" xfId="0" applyNumberFormat="1" applyFont="1" applyFill="1" applyBorder="1" applyProtection="1"/>
    <xf numFmtId="49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3" borderId="6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8" xfId="0" applyNumberFormat="1" applyFont="1" applyFill="1" applyBorder="1" applyAlignment="1" applyProtection="1">
      <alignment horizontal="center" vertical="center" wrapText="1"/>
      <protection locked="0"/>
    </xf>
    <xf numFmtId="0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6" fillId="8" borderId="0" xfId="0" applyNumberFormat="1" applyFont="1" applyFill="1" applyBorder="1" applyAlignment="1" applyProtection="1">
      <alignment horizontal="center"/>
    </xf>
    <xf numFmtId="49" fontId="1" fillId="3" borderId="6" xfId="0" applyNumberFormat="1" applyFont="1" applyFill="1" applyBorder="1" applyAlignment="1" applyProtection="1">
      <alignment horizontal="center" vertical="center"/>
      <protection locked="0"/>
    </xf>
    <xf numFmtId="49" fontId="1" fillId="3" borderId="7" xfId="0" applyNumberFormat="1" applyFont="1" applyFill="1" applyBorder="1" applyAlignment="1" applyProtection="1">
      <alignment horizontal="center" vertical="center"/>
      <protection locked="0"/>
    </xf>
    <xf numFmtId="49" fontId="1" fillId="3" borderId="8" xfId="0" applyNumberFormat="1" applyFont="1" applyFill="1" applyBorder="1" applyAlignment="1" applyProtection="1">
      <alignment horizontal="center" vertical="center"/>
      <protection locked="0"/>
    </xf>
    <xf numFmtId="49" fontId="6" fillId="8" borderId="0" xfId="0" applyNumberFormat="1" applyFont="1" applyFill="1" applyBorder="1" applyProtection="1"/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49" fontId="5" fillId="3" borderId="8" xfId="0" applyNumberFormat="1" applyFont="1" applyFill="1" applyBorder="1" applyAlignment="1" applyProtection="1">
      <alignment horizontal="center" vertical="center"/>
      <protection locked="0"/>
    </xf>
    <xf numFmtId="177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5" fillId="4" borderId="1" xfId="0" applyNumberFormat="1" applyFont="1" applyFill="1" applyBorder="1" applyAlignment="1" applyProtection="1">
      <alignment vertical="center"/>
      <protection locked="0"/>
    </xf>
    <xf numFmtId="49" fontId="5" fillId="4" borderId="7" xfId="0" applyNumberFormat="1" applyFont="1" applyFill="1" applyBorder="1" applyAlignment="1" applyProtection="1">
      <alignment horizontal="right" vertical="center"/>
      <protection locked="0"/>
    </xf>
    <xf numFmtId="49" fontId="5" fillId="4" borderId="1" xfId="0" applyNumberFormat="1" applyFont="1" applyFill="1" applyBorder="1" applyAlignment="1" applyProtection="1">
      <alignment horizontal="left" vertical="center"/>
      <protection locked="0"/>
    </xf>
    <xf numFmtId="49" fontId="7" fillId="8" borderId="0" xfId="0" applyNumberFormat="1" applyFont="1" applyFill="1" applyBorder="1" applyAlignment="1" applyProtection="1">
      <alignment horizontal="center"/>
    </xf>
    <xf numFmtId="49" fontId="1" fillId="4" borderId="6" xfId="0" applyNumberFormat="1" applyFont="1" applyFill="1" applyBorder="1" applyAlignment="1" applyProtection="1">
      <alignment horizontal="center" vertical="center" wrapText="1"/>
      <protection locked="0"/>
    </xf>
    <xf numFmtId="49" fontId="1" fillId="4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4" borderId="8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176" fontId="5" fillId="4" borderId="6" xfId="0" applyNumberFormat="1" applyFont="1" applyFill="1" applyBorder="1" applyAlignment="1" applyProtection="1">
      <alignment horizontal="center" vertical="center" wrapText="1"/>
      <protection locked="0"/>
    </xf>
    <xf numFmtId="176" fontId="1" fillId="4" borderId="7" xfId="0" applyNumberFormat="1" applyFont="1" applyFill="1" applyBorder="1" applyAlignment="1" applyProtection="1">
      <alignment horizontal="center" vertical="center"/>
      <protection locked="0"/>
    </xf>
    <xf numFmtId="176" fontId="1" fillId="4" borderId="8" xfId="0" applyNumberFormat="1" applyFont="1" applyFill="1" applyBorder="1" applyAlignment="1" applyProtection="1">
      <alignment horizontal="center" vertical="center"/>
      <protection locked="0"/>
    </xf>
    <xf numFmtId="176" fontId="1" fillId="4" borderId="6" xfId="0" applyNumberFormat="1" applyFont="1" applyFill="1" applyBorder="1" applyAlignment="1" applyProtection="1">
      <alignment horizontal="center" vertical="center"/>
      <protection locked="0"/>
    </xf>
    <xf numFmtId="0" fontId="8" fillId="2" borderId="0" xfId="0" applyFont="1" applyFill="1" applyBorder="1" applyAlignment="1" applyProtection="1">
      <alignment horizontal="center" vertical="center"/>
      <protection locked="0"/>
    </xf>
    <xf numFmtId="176" fontId="5" fillId="4" borderId="7" xfId="0" applyNumberFormat="1" applyFont="1" applyFill="1" applyBorder="1" applyAlignment="1" applyProtection="1">
      <alignment horizontal="center" vertical="center" wrapText="1"/>
      <protection locked="0"/>
    </xf>
    <xf numFmtId="176" fontId="5" fillId="4" borderId="8" xfId="0" applyNumberFormat="1" applyFont="1" applyFill="1" applyBorder="1" applyAlignment="1" applyProtection="1">
      <alignment horizontal="center" vertical="center" wrapText="1"/>
      <protection locked="0"/>
    </xf>
    <xf numFmtId="49" fontId="5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6" xfId="0" applyNumberFormat="1" applyFont="1" applyFill="1" applyBorder="1" applyAlignment="1" applyProtection="1">
      <alignment horizontal="center" vertical="center"/>
      <protection locked="0"/>
    </xf>
    <xf numFmtId="2" fontId="1" fillId="4" borderId="7" xfId="0" applyNumberFormat="1" applyFont="1" applyFill="1" applyBorder="1" applyAlignment="1" applyProtection="1">
      <alignment horizontal="center" vertical="center"/>
      <protection locked="0"/>
    </xf>
    <xf numFmtId="2" fontId="1" fillId="4" borderId="8" xfId="0" applyNumberFormat="1" applyFont="1" applyFill="1" applyBorder="1" applyAlignment="1" applyProtection="1">
      <alignment horizontal="center" vertical="center"/>
      <protection locked="0"/>
    </xf>
    <xf numFmtId="49" fontId="5" fillId="7" borderId="3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 applyProtection="1">
      <alignment horizontal="left" vertical="top"/>
      <protection locked="0"/>
    </xf>
    <xf numFmtId="0" fontId="1" fillId="2" borderId="0" xfId="0" applyFont="1" applyFill="1" applyBorder="1" applyAlignment="1" applyProtection="1">
      <alignment horizontal="left" vertical="top"/>
      <protection locked="0"/>
    </xf>
    <xf numFmtId="49" fontId="5" fillId="7" borderId="4" xfId="0" applyNumberFormat="1" applyFont="1" applyFill="1" applyBorder="1" applyAlignment="1">
      <alignment horizontal="center" vertical="center"/>
    </xf>
    <xf numFmtId="49" fontId="9" fillId="2" borderId="0" xfId="0" applyNumberFormat="1" applyFont="1" applyFill="1" applyBorder="1" applyProtection="1"/>
    <xf numFmtId="178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5" fillId="7" borderId="5" xfId="0" applyNumberFormat="1" applyFont="1" applyFill="1" applyBorder="1" applyAlignment="1">
      <alignment horizontal="center" vertical="center"/>
    </xf>
    <xf numFmtId="0" fontId="5" fillId="4" borderId="6" xfId="0" applyNumberFormat="1" applyFont="1" applyFill="1" applyBorder="1" applyAlignment="1" applyProtection="1">
      <alignment horizontal="left" vertical="center" wrapText="1"/>
      <protection locked="0"/>
    </xf>
    <xf numFmtId="0" fontId="1" fillId="4" borderId="7" xfId="0" applyNumberFormat="1" applyFont="1" applyFill="1" applyBorder="1" applyAlignment="1" applyProtection="1">
      <alignment horizontal="left" vertical="center" wrapText="1"/>
      <protection locked="0"/>
    </xf>
    <xf numFmtId="0" fontId="1" fillId="4" borderId="8" xfId="0" applyNumberFormat="1" applyFont="1" applyFill="1" applyBorder="1" applyAlignment="1" applyProtection="1">
      <alignment horizontal="left" vertical="center" wrapText="1"/>
      <protection locked="0"/>
    </xf>
    <xf numFmtId="49" fontId="10" fillId="2" borderId="0" xfId="0" applyNumberFormat="1" applyFont="1" applyFill="1" applyBorder="1" applyProtection="1"/>
    <xf numFmtId="49" fontId="5" fillId="7" borderId="3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vertical="center"/>
    </xf>
    <xf numFmtId="49" fontId="5" fillId="7" borderId="5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/>
    </xf>
    <xf numFmtId="49" fontId="5" fillId="7" borderId="9" xfId="0" applyNumberFormat="1" applyFont="1" applyFill="1" applyBorder="1" applyAlignment="1">
      <alignment horizontal="center" vertical="center"/>
    </xf>
    <xf numFmtId="0" fontId="5" fillId="4" borderId="6" xfId="0" applyNumberFormat="1" applyFont="1" applyFill="1" applyBorder="1" applyAlignment="1">
      <alignment horizontal="center" vertical="center" wrapText="1"/>
    </xf>
    <xf numFmtId="0" fontId="5" fillId="4" borderId="7" xfId="0" applyNumberFormat="1" applyFont="1" applyFill="1" applyBorder="1" applyAlignment="1">
      <alignment horizontal="center" vertical="center" wrapText="1"/>
    </xf>
    <xf numFmtId="0" fontId="5" fillId="4" borderId="10" xfId="0" applyNumberFormat="1" applyFont="1" applyFill="1" applyBorder="1" applyAlignment="1">
      <alignment horizontal="right" vertical="center" wrapText="1"/>
    </xf>
    <xf numFmtId="49" fontId="5" fillId="7" borderId="1" xfId="0" applyNumberFormat="1" applyFont="1" applyFill="1" applyBorder="1" applyAlignment="1">
      <alignment horizontal="center" vertical="center"/>
    </xf>
    <xf numFmtId="49" fontId="5" fillId="4" borderId="6" xfId="0" applyNumberFormat="1" applyFont="1" applyFill="1" applyBorder="1" applyAlignment="1">
      <alignment horizontal="center" vertical="center" wrapText="1"/>
    </xf>
    <xf numFmtId="49" fontId="5" fillId="4" borderId="7" xfId="0" applyNumberFormat="1" applyFont="1" applyFill="1" applyBorder="1" applyAlignment="1">
      <alignment horizontal="center" vertical="center" wrapText="1"/>
    </xf>
    <xf numFmtId="49" fontId="5" fillId="4" borderId="8" xfId="0" applyNumberFormat="1" applyFont="1" applyFill="1" applyBorder="1" applyAlignment="1">
      <alignment horizontal="center" vertical="center" wrapText="1"/>
    </xf>
    <xf numFmtId="49" fontId="11" fillId="6" borderId="6" xfId="0" applyNumberFormat="1" applyFont="1" applyFill="1" applyBorder="1" applyAlignment="1" applyProtection="1">
      <alignment horizontal="left" vertical="center"/>
      <protection locked="0"/>
    </xf>
    <xf numFmtId="49" fontId="11" fillId="6" borderId="11" xfId="0" applyNumberFormat="1" applyFont="1" applyFill="1" applyBorder="1" applyAlignment="1" applyProtection="1">
      <alignment horizontal="left" vertical="center"/>
      <protection locked="0"/>
    </xf>
    <xf numFmtId="49" fontId="11" fillId="6" borderId="12" xfId="0" applyNumberFormat="1" applyFont="1" applyFill="1" applyBorder="1" applyAlignment="1" applyProtection="1">
      <alignment horizontal="left" vertical="center"/>
      <protection locked="0"/>
    </xf>
    <xf numFmtId="0" fontId="1" fillId="8" borderId="0" xfId="0" applyFont="1" applyFill="1" applyBorder="1" applyAlignment="1" applyProtection="1">
      <alignment horizontal="center" vertical="center"/>
      <protection locked="0"/>
    </xf>
    <xf numFmtId="49" fontId="12" fillId="8" borderId="0" xfId="0" applyNumberFormat="1" applyFont="1" applyFill="1" applyBorder="1" applyProtection="1"/>
    <xf numFmtId="49" fontId="7" fillId="8" borderId="0" xfId="0" applyNumberFormat="1" applyFont="1" applyFill="1" applyBorder="1" applyProtection="1"/>
    <xf numFmtId="49" fontId="13" fillId="2" borderId="13" xfId="0" applyNumberFormat="1" applyFont="1" applyFill="1" applyBorder="1" applyAlignment="1" applyProtection="1"/>
    <xf numFmtId="49" fontId="1" fillId="2" borderId="13" xfId="0" applyNumberFormat="1" applyFont="1" applyFill="1" applyBorder="1" applyProtection="1"/>
    <xf numFmtId="49" fontId="1" fillId="4" borderId="0" xfId="0" applyNumberFormat="1" applyFont="1" applyFill="1" applyBorder="1" applyProtection="1"/>
    <xf numFmtId="49" fontId="10" fillId="2" borderId="0" xfId="0" applyNumberFormat="1" applyFont="1" applyFill="1" applyBorder="1" applyAlignment="1" applyProtection="1">
      <alignment vertical="center"/>
    </xf>
    <xf numFmtId="49" fontId="1" fillId="3" borderId="0" xfId="0" applyNumberFormat="1" applyFont="1" applyFill="1" applyBorder="1" applyProtection="1"/>
    <xf numFmtId="49" fontId="1" fillId="5" borderId="0" xfId="0" applyNumberFormat="1" applyFont="1" applyFill="1" applyBorder="1" applyProtection="1"/>
    <xf numFmtId="49" fontId="1" fillId="7" borderId="0" xfId="0" applyNumberFormat="1" applyFont="1" applyFill="1" applyBorder="1" applyProtection="1"/>
    <xf numFmtId="49" fontId="8" fillId="2" borderId="0" xfId="0" applyNumberFormat="1" applyFont="1" applyFill="1" applyBorder="1" applyAlignment="1" applyProtection="1">
      <alignment vertical="center"/>
    </xf>
    <xf numFmtId="49" fontId="8" fillId="2" borderId="0" xfId="0" applyNumberFormat="1" applyFont="1" applyFill="1" applyAlignment="1">
      <alignment vertical="center"/>
    </xf>
    <xf numFmtId="49" fontId="10" fillId="2" borderId="0" xfId="0" applyNumberFormat="1" applyFont="1" applyFill="1" applyAlignment="1">
      <alignment vertical="center"/>
    </xf>
    <xf numFmtId="49" fontId="8" fillId="2" borderId="0" xfId="0" applyNumberFormat="1" applyFont="1" applyFill="1" applyBorder="1" applyProtection="1"/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Medium9"/>
  <colors>
    <mruColors>
      <color rgb="00F2F3F8"/>
      <color rgb="00689CDA"/>
      <color rgb="00F5F6F9"/>
      <color rgb="00FFFFCC"/>
      <color rgb="00FFFF66"/>
      <color rgb="00EDF676"/>
      <color rgb="00E6E686"/>
      <color rgb="008385E9"/>
      <color rgb="00FFFCF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17</xdr:col>
      <xdr:colOff>209550</xdr:colOff>
      <xdr:row>15</xdr:row>
      <xdr:rowOff>0</xdr:rowOff>
    </xdr:from>
    <xdr:ext cx="240030" cy="171450"/>
    <xdr:sp>
      <xdr:nvSpPr>
        <xdr:cNvPr id="2" name="TextBox 1"/>
        <xdr:cNvSpPr txBox="1"/>
      </xdr:nvSpPr>
      <xdr:spPr>
        <a:xfrm>
          <a:off x="12340590" y="4333875"/>
          <a:ext cx="24003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1100"/>
        </a:p>
      </xdr:txBody>
    </xdr:sp>
    <xdr:clientData/>
  </xdr:oneCellAnchor>
  <xdr:oneCellAnchor>
    <xdr:from>
      <xdr:col>19</xdr:col>
      <xdr:colOff>445770</xdr:colOff>
      <xdr:row>14</xdr:row>
      <xdr:rowOff>45720</xdr:rowOff>
    </xdr:from>
    <xdr:ext cx="1146810" cy="392430"/>
    <xdr:sp>
      <xdr:nvSpPr>
        <xdr:cNvPr id="3" name="TextBox 2"/>
        <xdr:cNvSpPr txBox="1"/>
      </xdr:nvSpPr>
      <xdr:spPr>
        <a:xfrm>
          <a:off x="13811250" y="4103370"/>
          <a:ext cx="1146810" cy="3924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800"/>
        </a:p>
      </xdr:txBody>
    </xdr:sp>
    <xdr:clientData/>
  </xdr:oneCellAnchor>
  <xdr:oneCellAnchor>
    <xdr:from>
      <xdr:col>11</xdr:col>
      <xdr:colOff>156882</xdr:colOff>
      <xdr:row>16</xdr:row>
      <xdr:rowOff>116541</xdr:rowOff>
    </xdr:from>
    <xdr:ext cx="65" cy="172227"/>
    <xdr:sp>
      <xdr:nvSpPr>
        <xdr:cNvPr id="4" name="文本框 3"/>
        <xdr:cNvSpPr txBox="1"/>
      </xdr:nvSpPr>
      <xdr:spPr>
        <a:xfrm>
          <a:off x="9918065" y="478345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5</xdr:col>
      <xdr:colOff>219637</xdr:colOff>
      <xdr:row>16</xdr:row>
      <xdr:rowOff>286869</xdr:rowOff>
    </xdr:from>
    <xdr:ext cx="65" cy="172227"/>
    <xdr:sp>
      <xdr:nvSpPr>
        <xdr:cNvPr id="5" name="文本框 4"/>
        <xdr:cNvSpPr txBox="1"/>
      </xdr:nvSpPr>
      <xdr:spPr>
        <a:xfrm>
          <a:off x="6276975" y="4953635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Z27"/>
  <sheetViews>
    <sheetView tabSelected="1" zoomScale="85" zoomScaleNormal="85" workbookViewId="0">
      <selection activeCell="E18" sqref="E18"/>
    </sheetView>
  </sheetViews>
  <sheetFormatPr defaultColWidth="9" defaultRowHeight="20.25" customHeight="1"/>
  <cols>
    <col min="1" max="1" width="17.6666666666667" style="31" customWidth="1"/>
    <col min="2" max="2" width="17.1111111111111" style="31" customWidth="1"/>
    <col min="3" max="3" width="21.4444444444444" style="31" customWidth="1"/>
    <col min="4" max="4" width="18.8888888888889" style="31" customWidth="1"/>
    <col min="5" max="5" width="13.2222222222222" style="31" customWidth="1"/>
    <col min="6" max="6" width="28.4444444444444" style="2" customWidth="1"/>
    <col min="7" max="16" width="5.11111111111111" style="2" customWidth="1"/>
    <col min="17" max="21" width="9" style="2"/>
    <col min="22" max="22" width="23.4444444444444" style="2" customWidth="1"/>
    <col min="23" max="23" width="28" style="2" customWidth="1"/>
    <col min="24" max="16384" width="9" style="2"/>
  </cols>
  <sheetData>
    <row r="1" customHeight="1" spans="1:16">
      <c r="A1" s="32" t="s">
        <v>0</v>
      </c>
      <c r="B1" s="32"/>
      <c r="C1" s="32"/>
      <c r="D1" s="32"/>
      <c r="E1" s="32"/>
      <c r="F1" s="33" t="s">
        <v>1</v>
      </c>
      <c r="G1" s="34"/>
      <c r="H1" s="34"/>
      <c r="I1" s="34"/>
      <c r="J1" s="34"/>
      <c r="K1" s="34"/>
      <c r="L1" s="34"/>
      <c r="M1" s="34"/>
      <c r="N1" s="34"/>
      <c r="O1" s="34"/>
      <c r="P1" s="95"/>
    </row>
    <row r="2" s="1" customFormat="1" ht="21" customHeight="1" spans="1:16">
      <c r="A2" s="35" t="s">
        <v>2</v>
      </c>
      <c r="B2" s="36"/>
      <c r="C2" s="37"/>
      <c r="D2" s="37"/>
      <c r="E2" s="38"/>
      <c r="F2" s="39"/>
      <c r="G2" s="34"/>
      <c r="H2" s="40" t="s">
        <v>3</v>
      </c>
      <c r="I2" s="40"/>
      <c r="J2" s="40"/>
      <c r="K2" s="44"/>
      <c r="L2" s="40" t="s">
        <v>4</v>
      </c>
      <c r="M2" s="40"/>
      <c r="N2" s="40"/>
      <c r="O2" s="34"/>
      <c r="P2" s="95"/>
    </row>
    <row r="3" s="1" customFormat="1" ht="21" customHeight="1" spans="1:16">
      <c r="A3" s="35" t="s">
        <v>5</v>
      </c>
      <c r="B3" s="41"/>
      <c r="C3" s="42"/>
      <c r="D3" s="42"/>
      <c r="E3" s="43"/>
      <c r="F3" s="39"/>
      <c r="G3" s="34"/>
      <c r="H3" s="40"/>
      <c r="I3" s="40"/>
      <c r="J3" s="40"/>
      <c r="K3" s="44"/>
      <c r="L3" s="40"/>
      <c r="M3" s="40"/>
      <c r="N3" s="40"/>
      <c r="O3" s="34"/>
      <c r="P3" s="95"/>
    </row>
    <row r="4" s="1" customFormat="1" ht="21" customHeight="1" spans="1:26">
      <c r="A4" s="35" t="s">
        <v>6</v>
      </c>
      <c r="B4" s="41"/>
      <c r="C4" s="42"/>
      <c r="D4" s="42"/>
      <c r="E4" s="43"/>
      <c r="F4" s="39"/>
      <c r="G4" s="34"/>
      <c r="H4" s="44"/>
      <c r="I4" s="44"/>
      <c r="J4" s="44"/>
      <c r="K4" s="44"/>
      <c r="L4" s="44"/>
      <c r="M4" s="96"/>
      <c r="N4" s="96"/>
      <c r="O4" s="34"/>
      <c r="P4" s="95"/>
      <c r="S4" s="101"/>
      <c r="T4" s="101"/>
      <c r="U4" s="101"/>
      <c r="V4" s="101"/>
      <c r="W4" s="101"/>
      <c r="X4" s="101"/>
      <c r="Y4" s="101"/>
      <c r="Z4" s="101"/>
    </row>
    <row r="5" s="1" customFormat="1" ht="21" customHeight="1" spans="1:26">
      <c r="A5" s="35" t="s">
        <v>7</v>
      </c>
      <c r="B5" s="41"/>
      <c r="C5" s="42"/>
      <c r="D5" s="42"/>
      <c r="E5" s="43"/>
      <c r="F5" s="39"/>
      <c r="G5" s="34"/>
      <c r="H5" s="40" t="s">
        <v>8</v>
      </c>
      <c r="I5" s="40"/>
      <c r="J5" s="40"/>
      <c r="K5" s="44"/>
      <c r="L5" s="40" t="s">
        <v>9</v>
      </c>
      <c r="M5" s="40"/>
      <c r="N5" s="40"/>
      <c r="O5" s="34"/>
      <c r="P5" s="95"/>
      <c r="S5" s="101"/>
      <c r="T5" s="101"/>
      <c r="U5" s="101"/>
      <c r="V5" s="101"/>
      <c r="W5" s="101"/>
      <c r="X5" s="101"/>
      <c r="Y5" s="101"/>
      <c r="Z5" s="101"/>
    </row>
    <row r="6" s="1" customFormat="1" ht="21" customHeight="1" spans="1:26">
      <c r="A6" s="35" t="s">
        <v>10</v>
      </c>
      <c r="B6" s="45"/>
      <c r="C6" s="46"/>
      <c r="D6" s="46"/>
      <c r="E6" s="47"/>
      <c r="F6" s="48"/>
      <c r="G6" s="34"/>
      <c r="H6" s="40"/>
      <c r="I6" s="40"/>
      <c r="J6" s="40"/>
      <c r="K6" s="44"/>
      <c r="L6" s="40"/>
      <c r="M6" s="40"/>
      <c r="N6" s="40"/>
      <c r="O6" s="34"/>
      <c r="P6" s="95"/>
      <c r="S6" s="101"/>
      <c r="T6" s="101"/>
      <c r="U6" s="105"/>
      <c r="V6" s="105"/>
      <c r="W6" s="105"/>
      <c r="X6" s="101"/>
      <c r="Y6" s="101"/>
      <c r="Z6" s="101"/>
    </row>
    <row r="7" s="1" customFormat="1" ht="42" customHeight="1" spans="1:26">
      <c r="A7" s="35" t="s">
        <v>11</v>
      </c>
      <c r="B7" s="45"/>
      <c r="C7" s="46"/>
      <c r="D7" s="46"/>
      <c r="E7" s="47"/>
      <c r="F7" s="48"/>
      <c r="G7" s="34"/>
      <c r="H7" s="40"/>
      <c r="I7" s="40"/>
      <c r="J7" s="40"/>
      <c r="K7" s="44"/>
      <c r="L7" s="40"/>
      <c r="M7" s="40"/>
      <c r="N7" s="40"/>
      <c r="O7" s="34"/>
      <c r="P7" s="95"/>
      <c r="S7" s="101"/>
      <c r="T7" s="101"/>
      <c r="U7" s="105"/>
      <c r="V7" s="105"/>
      <c r="W7" s="105"/>
      <c r="X7" s="101"/>
      <c r="Y7" s="101"/>
      <c r="Z7" s="101"/>
    </row>
    <row r="8" s="1" customFormat="1" ht="21.75" customHeight="1" spans="1:26">
      <c r="A8" s="35" t="s">
        <v>12</v>
      </c>
      <c r="B8" s="49"/>
      <c r="C8" s="50" t="s">
        <v>13</v>
      </c>
      <c r="D8" s="51"/>
      <c r="E8" s="51"/>
      <c r="F8" s="48"/>
      <c r="G8" s="34"/>
      <c r="H8" s="52"/>
      <c r="I8" s="52"/>
      <c r="J8" s="52"/>
      <c r="K8" s="97"/>
      <c r="L8" s="52"/>
      <c r="M8" s="52"/>
      <c r="N8" s="52"/>
      <c r="O8" s="34"/>
      <c r="P8" s="95"/>
      <c r="S8" s="101"/>
      <c r="T8" s="101"/>
      <c r="U8" s="106"/>
      <c r="V8" s="106"/>
      <c r="W8" s="106"/>
      <c r="X8" s="107"/>
      <c r="Y8" s="107"/>
      <c r="Z8" s="101"/>
    </row>
    <row r="9" s="1" customFormat="1" ht="21.75" customHeight="1" spans="1:26">
      <c r="A9" s="35" t="s">
        <v>14</v>
      </c>
      <c r="B9" s="53"/>
      <c r="C9" s="54"/>
      <c r="D9" s="54"/>
      <c r="E9" s="55"/>
      <c r="F9" s="56"/>
      <c r="G9" s="2"/>
      <c r="H9" s="2"/>
      <c r="I9" s="98" t="s">
        <v>15</v>
      </c>
      <c r="J9" s="99"/>
      <c r="K9" s="56"/>
      <c r="L9" s="56"/>
      <c r="M9" s="2"/>
      <c r="N9" s="2"/>
      <c r="O9" s="2"/>
      <c r="P9" s="56"/>
      <c r="S9" s="101"/>
      <c r="T9" s="101"/>
      <c r="U9" s="106"/>
      <c r="V9" s="106" t="s">
        <v>16</v>
      </c>
      <c r="W9" s="106" t="s">
        <v>17</v>
      </c>
      <c r="X9" s="107"/>
      <c r="Y9" s="107"/>
      <c r="Z9" s="101"/>
    </row>
    <row r="10" s="1" customFormat="1" ht="21.75" customHeight="1" spans="1:26">
      <c r="A10" s="35" t="s">
        <v>18</v>
      </c>
      <c r="B10" s="57"/>
      <c r="C10" s="58"/>
      <c r="D10" s="58"/>
      <c r="E10" s="59"/>
      <c r="F10" s="56"/>
      <c r="G10" s="56"/>
      <c r="H10" s="2"/>
      <c r="I10" s="100"/>
      <c r="J10" s="101" t="s">
        <v>19</v>
      </c>
      <c r="K10" s="56"/>
      <c r="L10" s="56"/>
      <c r="M10" s="56"/>
      <c r="N10" s="56"/>
      <c r="O10" s="56"/>
      <c r="P10" s="56"/>
      <c r="S10" s="101"/>
      <c r="T10" s="101"/>
      <c r="U10" s="106"/>
      <c r="V10" s="106" t="s">
        <v>20</v>
      </c>
      <c r="W10" s="106" t="s">
        <v>21</v>
      </c>
      <c r="X10" s="107"/>
      <c r="Y10" s="107"/>
      <c r="Z10" s="101"/>
    </row>
    <row r="11" s="1" customFormat="1" ht="21.75" customHeight="1" spans="1:26">
      <c r="A11" s="35" t="s">
        <v>22</v>
      </c>
      <c r="B11" s="60"/>
      <c r="C11" s="58"/>
      <c r="D11" s="58"/>
      <c r="E11" s="59"/>
      <c r="F11" s="56"/>
      <c r="G11" s="56"/>
      <c r="H11" s="2"/>
      <c r="I11" s="102"/>
      <c r="J11" s="101" t="s">
        <v>23</v>
      </c>
      <c r="K11" s="2"/>
      <c r="L11" s="2"/>
      <c r="M11" s="56"/>
      <c r="N11" s="56"/>
      <c r="O11" s="56"/>
      <c r="P11" s="56"/>
      <c r="S11" s="101"/>
      <c r="T11" s="101"/>
      <c r="U11" s="106"/>
      <c r="V11" s="106" t="s">
        <v>24</v>
      </c>
      <c r="W11" s="106" t="s">
        <v>25</v>
      </c>
      <c r="X11" s="107"/>
      <c r="Y11" s="107"/>
      <c r="Z11" s="101"/>
    </row>
    <row r="12" s="1" customFormat="1" ht="21.75" customHeight="1" spans="1:26">
      <c r="A12" s="35" t="s">
        <v>26</v>
      </c>
      <c r="B12" s="60" t="str">
        <f>IFERROR(VLOOKUP(B11,V9:W15,2,),"")</f>
        <v/>
      </c>
      <c r="C12" s="58"/>
      <c r="D12" s="58"/>
      <c r="E12" s="59"/>
      <c r="F12" s="61" t="s">
        <v>27</v>
      </c>
      <c r="G12" s="56"/>
      <c r="H12" s="2"/>
      <c r="I12" s="103"/>
      <c r="J12" s="101" t="s">
        <v>28</v>
      </c>
      <c r="K12" s="2"/>
      <c r="L12" s="2"/>
      <c r="M12" s="56"/>
      <c r="N12" s="56"/>
      <c r="O12" s="56"/>
      <c r="P12" s="56"/>
      <c r="S12" s="101"/>
      <c r="T12" s="101"/>
      <c r="U12" s="106"/>
      <c r="V12" s="106" t="s">
        <v>29</v>
      </c>
      <c r="W12" s="106" t="s">
        <v>30</v>
      </c>
      <c r="X12" s="107"/>
      <c r="Y12" s="107"/>
      <c r="Z12" s="101"/>
    </row>
    <row r="13" s="1" customFormat="1" ht="21.75" customHeight="1" spans="1:26">
      <c r="A13" s="35" t="s">
        <v>31</v>
      </c>
      <c r="B13" s="60" t="str">
        <f>IFERROR(VLOOKUP(B12,V10:W16,2,),"")</f>
        <v/>
      </c>
      <c r="C13" s="58"/>
      <c r="D13" s="58"/>
      <c r="E13" s="59"/>
      <c r="F13" s="61"/>
      <c r="G13" s="56"/>
      <c r="H13" s="2"/>
      <c r="I13" s="103"/>
      <c r="J13" s="101"/>
      <c r="K13" s="2"/>
      <c r="L13" s="2"/>
      <c r="M13" s="56"/>
      <c r="N13" s="56"/>
      <c r="O13" s="56"/>
      <c r="P13" s="56"/>
      <c r="S13" s="101"/>
      <c r="T13" s="101"/>
      <c r="U13" s="106"/>
      <c r="V13" s="106"/>
      <c r="W13" s="106"/>
      <c r="X13" s="107"/>
      <c r="Y13" s="107"/>
      <c r="Z13" s="101"/>
    </row>
    <row r="14" s="1" customFormat="1" ht="21.75" customHeight="1" spans="1:26">
      <c r="A14" s="35" t="s">
        <v>32</v>
      </c>
      <c r="B14" s="57"/>
      <c r="C14" s="62"/>
      <c r="D14" s="62"/>
      <c r="E14" s="63"/>
      <c r="F14" s="61" t="s">
        <v>33</v>
      </c>
      <c r="G14" s="56"/>
      <c r="H14" s="2"/>
      <c r="I14" s="104"/>
      <c r="J14" s="101"/>
      <c r="K14" s="2"/>
      <c r="L14" s="2"/>
      <c r="M14" s="56"/>
      <c r="N14" s="56"/>
      <c r="O14" s="56"/>
      <c r="P14" s="56"/>
      <c r="S14" s="101"/>
      <c r="T14" s="101"/>
      <c r="U14" s="106"/>
      <c r="V14" s="106" t="s">
        <v>34</v>
      </c>
      <c r="W14" s="106" t="s">
        <v>35</v>
      </c>
      <c r="X14" s="107"/>
      <c r="Y14" s="107"/>
      <c r="Z14" s="101"/>
    </row>
    <row r="15" ht="21.75" customHeight="1" spans="1:26">
      <c r="A15" s="64" t="s">
        <v>36</v>
      </c>
      <c r="B15" s="65"/>
      <c r="C15" s="66"/>
      <c r="D15" s="66"/>
      <c r="E15" s="67"/>
      <c r="F15" s="61" t="s">
        <v>37</v>
      </c>
      <c r="G15" s="56"/>
      <c r="I15" s="104"/>
      <c r="J15" s="101"/>
      <c r="M15" s="56"/>
      <c r="N15" s="56"/>
      <c r="O15" s="56"/>
      <c r="P15" s="56"/>
      <c r="S15" s="78"/>
      <c r="T15" s="78"/>
      <c r="U15" s="106"/>
      <c r="V15" s="106" t="s">
        <v>38</v>
      </c>
      <c r="W15" s="106" t="s">
        <v>39</v>
      </c>
      <c r="X15" s="107"/>
      <c r="Y15" s="107"/>
      <c r="Z15" s="78"/>
    </row>
    <row r="16" ht="26.25" customHeight="1" spans="1:26">
      <c r="A16" s="68" t="s">
        <v>40</v>
      </c>
      <c r="B16" s="64" t="s">
        <v>41</v>
      </c>
      <c r="C16" s="29"/>
      <c r="D16" s="64" t="s">
        <v>42</v>
      </c>
      <c r="E16" s="5"/>
      <c r="F16" s="69"/>
      <c r="G16" s="70"/>
      <c r="H16" s="30"/>
      <c r="I16" s="30"/>
      <c r="J16" s="30"/>
      <c r="K16" s="30"/>
      <c r="L16" s="70"/>
      <c r="M16" s="70"/>
      <c r="N16" s="70"/>
      <c r="O16" s="70"/>
      <c r="P16" s="70"/>
      <c r="S16" s="78"/>
      <c r="T16" s="78"/>
      <c r="U16" s="108"/>
      <c r="V16" s="108"/>
      <c r="W16" s="108"/>
      <c r="X16" s="78"/>
      <c r="Y16" s="78"/>
      <c r="Z16" s="78"/>
    </row>
    <row r="17" ht="26.25" customHeight="1" spans="1:26">
      <c r="A17" s="71"/>
      <c r="B17" s="64" t="s">
        <v>43</v>
      </c>
      <c r="C17" s="5"/>
      <c r="D17" s="64" t="s">
        <v>44</v>
      </c>
      <c r="E17" s="5"/>
      <c r="F17" s="72" t="s">
        <v>45</v>
      </c>
      <c r="S17" s="78"/>
      <c r="T17" s="78"/>
      <c r="U17" s="108"/>
      <c r="V17" s="108"/>
      <c r="W17" s="108"/>
      <c r="X17" s="78"/>
      <c r="Y17" s="78"/>
      <c r="Z17" s="78"/>
    </row>
    <row r="18" ht="26.25" customHeight="1" spans="1:26">
      <c r="A18" s="71"/>
      <c r="B18" s="64" t="s">
        <v>46</v>
      </c>
      <c r="C18" s="73"/>
      <c r="D18" s="64" t="s">
        <v>47</v>
      </c>
      <c r="E18" s="73"/>
      <c r="F18" s="72" t="s">
        <v>48</v>
      </c>
      <c r="S18" s="78"/>
      <c r="T18" s="78"/>
      <c r="U18" s="78"/>
      <c r="V18" s="78"/>
      <c r="W18" s="78"/>
      <c r="X18" s="78"/>
      <c r="Y18" s="78"/>
      <c r="Z18" s="78"/>
    </row>
    <row r="19" ht="26.25" customHeight="1" spans="1:26">
      <c r="A19" s="74"/>
      <c r="B19" s="64" t="s">
        <v>49</v>
      </c>
      <c r="C19" s="75"/>
      <c r="D19" s="76"/>
      <c r="E19" s="77"/>
      <c r="F19" s="78"/>
      <c r="S19" s="78"/>
      <c r="T19" s="78"/>
      <c r="U19" s="78"/>
      <c r="V19" s="78"/>
      <c r="W19" s="78"/>
      <c r="X19" s="78"/>
      <c r="Y19" s="78"/>
      <c r="Z19" s="78"/>
    </row>
    <row r="20" ht="45" customHeight="1" spans="1:5">
      <c r="A20" s="79" t="s">
        <v>50</v>
      </c>
      <c r="B20" s="80" t="s">
        <v>51</v>
      </c>
      <c r="C20" s="80"/>
      <c r="D20" s="80" t="s">
        <v>52</v>
      </c>
      <c r="E20" s="81"/>
    </row>
    <row r="21" s="30" customFormat="1" ht="26.25" customHeight="1" spans="1:16">
      <c r="A21" s="82"/>
      <c r="B21" s="80" t="s">
        <v>53</v>
      </c>
      <c r="C21" s="83"/>
      <c r="D21" s="80" t="s">
        <v>54</v>
      </c>
      <c r="E21" s="81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="30" customFormat="1" ht="26.25" customHeight="1" spans="1:16">
      <c r="A22" s="84" t="s">
        <v>55</v>
      </c>
      <c r="B22" s="85">
        <v>0</v>
      </c>
      <c r="C22" s="86"/>
      <c r="D22" s="86"/>
      <c r="E22" s="87" t="str">
        <f>IF(B22=0,"ND",B22)</f>
        <v>ND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ht="26.25" customHeight="1" spans="1:5">
      <c r="A23" s="88" t="s">
        <v>56</v>
      </c>
      <c r="B23" s="89" t="s">
        <v>57</v>
      </c>
      <c r="C23" s="90"/>
      <c r="D23" s="90"/>
      <c r="E23" s="91"/>
    </row>
    <row r="24" customHeight="1" spans="1:5">
      <c r="A24" s="92" t="s">
        <v>58</v>
      </c>
      <c r="B24" s="93"/>
      <c r="C24" s="93"/>
      <c r="D24" s="93"/>
      <c r="E24" s="94"/>
    </row>
    <row r="25" customHeight="1" spans="1:5">
      <c r="A25" s="35" t="s">
        <v>59</v>
      </c>
      <c r="B25" s="3"/>
      <c r="C25" s="3"/>
      <c r="D25" s="3"/>
      <c r="E25" s="3"/>
    </row>
    <row r="26" customHeight="1" spans="1:5">
      <c r="A26" s="35" t="s">
        <v>60</v>
      </c>
      <c r="B26" s="3"/>
      <c r="C26" s="3"/>
      <c r="D26" s="3"/>
      <c r="E26" s="3"/>
    </row>
    <row r="27" customHeight="1" spans="1:5">
      <c r="A27" s="35" t="s">
        <v>61</v>
      </c>
      <c r="B27" s="3"/>
      <c r="C27" s="3"/>
      <c r="D27" s="3"/>
      <c r="E27" s="3"/>
    </row>
  </sheetData>
  <sheetProtection formatCells="0" formatColumns="0" formatRows="0" sort="0" autoFilter="0" pivotTables="0"/>
  <mergeCells count="28">
    <mergeCell ref="A1:E1"/>
    <mergeCell ref="B2:E2"/>
    <mergeCell ref="B3:E3"/>
    <mergeCell ref="B4:E4"/>
    <mergeCell ref="B5:E5"/>
    <mergeCell ref="B6:E6"/>
    <mergeCell ref="B7:E7"/>
    <mergeCell ref="D8:E8"/>
    <mergeCell ref="B9:E9"/>
    <mergeCell ref="B10:E10"/>
    <mergeCell ref="B11:E11"/>
    <mergeCell ref="B12:E12"/>
    <mergeCell ref="B13:E13"/>
    <mergeCell ref="B14:E14"/>
    <mergeCell ref="B15:E15"/>
    <mergeCell ref="C19:E19"/>
    <mergeCell ref="B22:D22"/>
    <mergeCell ref="B23:E23"/>
    <mergeCell ref="A24:E24"/>
    <mergeCell ref="B25:E25"/>
    <mergeCell ref="B26:E26"/>
    <mergeCell ref="B27:E27"/>
    <mergeCell ref="A16:A19"/>
    <mergeCell ref="A20:A21"/>
    <mergeCell ref="L2:N3"/>
    <mergeCell ref="H5:J7"/>
    <mergeCell ref="L5:N7"/>
    <mergeCell ref="H2:J3"/>
  </mergeCells>
  <dataValidations count="3">
    <dataValidation type="list" allowBlank="1" showInputMessage="1" sqref="B11:E11">
      <formula1>$V$9:$V$15</formula1>
    </dataValidation>
    <dataValidation type="list" allowBlank="1" showInputMessage="1" sqref="C16">
      <formula1>$F$12:$F$15</formula1>
    </dataValidation>
    <dataValidation type="list" allowBlank="1" showInputMessage="1" sqref="C17">
      <formula1>$F$17:$F$18</formula1>
    </dataValidation>
  </dataValidations>
  <pageMargins left="0.699305555555556" right="0.699305555555556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G373"/>
  <sheetViews>
    <sheetView workbookViewId="0">
      <selection activeCell="J8" sqref="J8"/>
    </sheetView>
  </sheetViews>
  <sheetFormatPr defaultColWidth="9" defaultRowHeight="13.8"/>
  <cols>
    <col min="1" max="1" width="9" style="2"/>
    <col min="2" max="4" width="15.1111111111111" style="3" customWidth="1"/>
    <col min="5" max="6" width="12.4444444444444" style="4" customWidth="1"/>
    <col min="7" max="7" width="14.8888888888889" style="5" customWidth="1"/>
    <col min="8" max="9" width="12.4444444444444" style="4" customWidth="1"/>
    <col min="10" max="14" width="11.3333333333333" style="6" customWidth="1"/>
    <col min="15" max="15" width="12.4444444444444" style="4" customWidth="1"/>
    <col min="16" max="16384" width="9" style="2"/>
  </cols>
  <sheetData>
    <row r="1" ht="20.25" customHeight="1" spans="1:15">
      <c r="A1" s="7" t="s">
        <v>62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="1" customFormat="1" ht="18.9" customHeight="1" spans="1:33">
      <c r="A2" s="9" t="s">
        <v>63</v>
      </c>
      <c r="B2" s="9" t="s">
        <v>64</v>
      </c>
      <c r="C2" s="10" t="s">
        <v>65</v>
      </c>
      <c r="D2" s="9" t="s">
        <v>66</v>
      </c>
      <c r="E2" s="11" t="s">
        <v>67</v>
      </c>
      <c r="F2" s="11"/>
      <c r="G2" s="11"/>
      <c r="H2" s="11" t="s">
        <v>68</v>
      </c>
      <c r="I2" s="11"/>
      <c r="J2" s="16" t="s">
        <v>69</v>
      </c>
      <c r="K2" s="17"/>
      <c r="L2" s="17"/>
      <c r="M2" s="17"/>
      <c r="N2" s="18"/>
      <c r="O2" s="19" t="s">
        <v>70</v>
      </c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</row>
    <row r="3" s="1" customFormat="1" ht="21" customHeight="1" spans="1:33">
      <c r="A3" s="12"/>
      <c r="B3" s="12"/>
      <c r="C3" s="13"/>
      <c r="D3" s="12"/>
      <c r="E3" s="11" t="s">
        <v>71</v>
      </c>
      <c r="F3" s="11"/>
      <c r="G3" s="14" t="s">
        <v>72</v>
      </c>
      <c r="H3" s="11" t="s">
        <v>73</v>
      </c>
      <c r="I3" s="11" t="s">
        <v>74</v>
      </c>
      <c r="J3" s="20" t="s">
        <v>75</v>
      </c>
      <c r="K3" s="21" t="s">
        <v>76</v>
      </c>
      <c r="L3" s="20" t="s">
        <v>77</v>
      </c>
      <c r="M3" s="20" t="s">
        <v>78</v>
      </c>
      <c r="N3" s="22" t="s">
        <v>79</v>
      </c>
      <c r="O3" s="23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</row>
    <row r="4" s="1" customFormat="1" ht="21" customHeight="1" spans="1:33">
      <c r="A4" s="12"/>
      <c r="B4" s="12"/>
      <c r="C4" s="15"/>
      <c r="D4" s="12"/>
      <c r="E4" s="11" t="s">
        <v>80</v>
      </c>
      <c r="F4" s="11" t="s">
        <v>81</v>
      </c>
      <c r="G4" s="14"/>
      <c r="H4" s="11"/>
      <c r="I4" s="11"/>
      <c r="J4" s="24"/>
      <c r="K4" s="25"/>
      <c r="L4" s="26"/>
      <c r="M4" s="26"/>
      <c r="N4" s="27"/>
      <c r="O4" s="28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</row>
    <row r="5" ht="20.25" customHeight="1" spans="1:9">
      <c r="A5" s="3"/>
      <c r="G5" s="5" t="str">
        <f>IFERROR(IF(ISBLANK(H5),"",IF(I5="ND","否","是")),"")</f>
        <v/>
      </c>
      <c r="I5" s="29" t="str">
        <f>IFERROR(IF(H5="ND","ND",XiuYue((((H5-基础页!$B$22)*基础页!$B$15/C5)),3,-1,9999)),"")</f>
        <v/>
      </c>
    </row>
    <row r="6" ht="20.25" customHeight="1" spans="1:9">
      <c r="A6" s="3"/>
      <c r="G6" s="5" t="str">
        <f t="shared" ref="G6:G69" si="0">IFERROR(IF(ISBLANK(H6),"",IF(I6="ND","否","是")),"")</f>
        <v/>
      </c>
      <c r="I6" s="29" t="str">
        <f>IFERROR(IF(H6="ND","ND",XiuYue((((H6-基础页!$B$22)*基础页!$B$15/C6)),3,-1,9999)),"")</f>
        <v/>
      </c>
    </row>
    <row r="7" ht="20.25" customHeight="1" spans="1:9">
      <c r="A7" s="3"/>
      <c r="G7" s="5" t="str">
        <f t="shared" si="0"/>
        <v/>
      </c>
      <c r="I7" s="29" t="str">
        <f>IFERROR(IF(H7="ND","ND",XiuYue((((H7-基础页!$B$22)*基础页!$B$15/C7)),3,-1,9999)),"")</f>
        <v/>
      </c>
    </row>
    <row r="8" ht="20.25" customHeight="1" spans="1:9">
      <c r="A8" s="3"/>
      <c r="G8" s="5" t="str">
        <f t="shared" si="0"/>
        <v/>
      </c>
      <c r="I8" s="29" t="str">
        <f>IFERROR(IF(H8="ND","ND",XiuYue((((H8-基础页!$B$22)*基础页!$B$15/C8)),3,-1,9999)),"")</f>
        <v/>
      </c>
    </row>
    <row r="9" ht="20.25" customHeight="1" spans="1:9">
      <c r="A9" s="3"/>
      <c r="G9" s="5" t="str">
        <f t="shared" si="0"/>
        <v/>
      </c>
      <c r="I9" s="29" t="str">
        <f>IFERROR(IF(H9="ND","ND",XiuYue((((H9-基础页!$B$22)*基础页!$B$15/C9)),3,-1,9999)),"")</f>
        <v/>
      </c>
    </row>
    <row r="10" ht="20.25" customHeight="1" spans="1:9">
      <c r="A10" s="3"/>
      <c r="G10" s="5" t="str">
        <f t="shared" si="0"/>
        <v/>
      </c>
      <c r="I10" s="29" t="str">
        <f>IFERROR(IF(H10="ND","ND",XiuYue((((H10-基础页!$B$22)*基础页!$B$15/C10)),3,-1,9999)),"")</f>
        <v/>
      </c>
    </row>
    <row r="11" ht="20.25" customHeight="1" spans="1:9">
      <c r="A11" s="3"/>
      <c r="G11" s="5" t="str">
        <f t="shared" si="0"/>
        <v/>
      </c>
      <c r="I11" s="29" t="str">
        <f>IFERROR(IF(H11="ND","ND",XiuYue((((H11-基础页!$B$22)*基础页!$B$15/C11)),3,-1,9999)),"")</f>
        <v/>
      </c>
    </row>
    <row r="12" ht="20.25" customHeight="1" spans="1:9">
      <c r="A12" s="3"/>
      <c r="G12" s="5" t="str">
        <f t="shared" si="0"/>
        <v/>
      </c>
      <c r="I12" s="29" t="str">
        <f>IFERROR(IF(H12="ND","ND",XiuYue((((H12-基础页!$B$22)*基础页!$B$15/C12)),3,-1,9999)),"")</f>
        <v/>
      </c>
    </row>
    <row r="13" ht="20.25" customHeight="1" spans="1:9">
      <c r="A13" s="3"/>
      <c r="G13" s="5" t="str">
        <f t="shared" si="0"/>
        <v/>
      </c>
      <c r="I13" s="29" t="str">
        <f>IFERROR(IF(H13="ND","ND",XiuYue((((H13-基础页!$B$22)*基础页!$B$15/C13)),3,-1,9999)),"")</f>
        <v/>
      </c>
    </row>
    <row r="14" ht="20.25" customHeight="1" spans="1:9">
      <c r="A14" s="3"/>
      <c r="G14" s="5" t="str">
        <f t="shared" si="0"/>
        <v/>
      </c>
      <c r="I14" s="29" t="str">
        <f>IFERROR(IF(H14="ND","ND",XiuYue((((H14-基础页!$B$22)*基础页!$B$15/C14)),3,-1,9999)),"")</f>
        <v/>
      </c>
    </row>
    <row r="15" ht="20.25" customHeight="1" spans="1:9">
      <c r="A15" s="3"/>
      <c r="G15" s="5" t="str">
        <f t="shared" si="0"/>
        <v/>
      </c>
      <c r="I15" s="29" t="str">
        <f>IFERROR(IF(H15="ND","ND",XiuYue((((H15-基础页!$B$22)*基础页!$B$15/C15)),3,-1,9999)),"")</f>
        <v/>
      </c>
    </row>
    <row r="16" ht="20.25" customHeight="1" spans="1:9">
      <c r="A16" s="3"/>
      <c r="G16" s="5" t="str">
        <f t="shared" si="0"/>
        <v/>
      </c>
      <c r="I16" s="29" t="str">
        <f>IFERROR(IF(H16="ND","ND",XiuYue((((H16-基础页!$B$22)*基础页!$B$15/C16)),3,-1,9999)),"")</f>
        <v/>
      </c>
    </row>
    <row r="17" ht="20.25" customHeight="1" spans="1:9">
      <c r="A17" s="3"/>
      <c r="G17" s="5" t="str">
        <f t="shared" si="0"/>
        <v/>
      </c>
      <c r="I17" s="29" t="str">
        <f>IFERROR(IF(H17="ND","ND",XiuYue((((H17-基础页!$B$22)*基础页!$B$15/C17)),3,-1,9999)),"")</f>
        <v/>
      </c>
    </row>
    <row r="18" ht="20.25" customHeight="1" spans="1:9">
      <c r="A18" s="3"/>
      <c r="G18" s="5" t="str">
        <f t="shared" si="0"/>
        <v/>
      </c>
      <c r="I18" s="29" t="str">
        <f>IFERROR(IF(H18="ND","ND",XiuYue((((H18-基础页!$B$22)*基础页!$B$15/C18)),3,-1,9999)),"")</f>
        <v/>
      </c>
    </row>
    <row r="19" ht="20.25" customHeight="1" spans="1:9">
      <c r="A19" s="3"/>
      <c r="G19" s="5" t="str">
        <f t="shared" si="0"/>
        <v/>
      </c>
      <c r="I19" s="29" t="str">
        <f>IFERROR(IF(H19="ND","ND",XiuYue((((H19-基础页!$B$22)*基础页!$B$15/C19)),3,-1,9999)),"")</f>
        <v/>
      </c>
    </row>
    <row r="20" ht="20.25" customHeight="1" spans="1:9">
      <c r="A20" s="3"/>
      <c r="G20" s="5" t="str">
        <f t="shared" si="0"/>
        <v/>
      </c>
      <c r="I20" s="29" t="str">
        <f>IFERROR(IF(H20="ND","ND",XiuYue((((H20-基础页!$B$22)*基础页!$B$15/C20)),3,-1,9999)),"")</f>
        <v/>
      </c>
    </row>
    <row r="21" ht="20.25" customHeight="1" spans="1:9">
      <c r="A21" s="3"/>
      <c r="G21" s="5" t="str">
        <f t="shared" si="0"/>
        <v/>
      </c>
      <c r="I21" s="29" t="str">
        <f>IFERROR(IF(H21="ND","ND",XiuYue((((H21-基础页!$B$22)*基础页!$B$15/C21)),3,-1,9999)),"")</f>
        <v/>
      </c>
    </row>
    <row r="22" ht="20.25" customHeight="1" spans="1:9">
      <c r="A22" s="3"/>
      <c r="G22" s="5" t="str">
        <f t="shared" si="0"/>
        <v/>
      </c>
      <c r="I22" s="29" t="str">
        <f>IFERROR(IF(H22="ND","ND",XiuYue((((H22-基础页!$B$22)*基础页!$B$15/C22)),3,-1,9999)),"")</f>
        <v/>
      </c>
    </row>
    <row r="23" ht="20.25" customHeight="1" spans="1:9">
      <c r="A23" s="3"/>
      <c r="G23" s="5" t="str">
        <f t="shared" si="0"/>
        <v/>
      </c>
      <c r="I23" s="29" t="str">
        <f>IFERROR(IF(H23="ND","ND",XiuYue((((H23-基础页!$B$22)*基础页!$B$15/C23)),3,-1,9999)),"")</f>
        <v/>
      </c>
    </row>
    <row r="24" ht="20.25" customHeight="1" spans="1:9">
      <c r="A24" s="3"/>
      <c r="G24" s="5" t="str">
        <f t="shared" si="0"/>
        <v/>
      </c>
      <c r="I24" s="29" t="str">
        <f>IFERROR(IF(H24="ND","ND",XiuYue((((H24-基础页!$B$22)*基础页!$B$15/C24)),3,-1,9999)),"")</f>
        <v/>
      </c>
    </row>
    <row r="25" ht="20.25" customHeight="1" spans="1:9">
      <c r="A25" s="3"/>
      <c r="G25" s="5" t="str">
        <f t="shared" si="0"/>
        <v/>
      </c>
      <c r="I25" s="29" t="str">
        <f>IFERROR(IF(H25="ND","ND",XiuYue((((H25-基础页!$B$22)*基础页!$B$15/C25)),3,-1,9999)),"")</f>
        <v/>
      </c>
    </row>
    <row r="26" ht="20.25" customHeight="1" spans="1:9">
      <c r="A26" s="3"/>
      <c r="G26" s="5" t="str">
        <f t="shared" si="0"/>
        <v/>
      </c>
      <c r="I26" s="29" t="str">
        <f>IFERROR(IF(H26="ND","ND",XiuYue((((H26-基础页!$B$22)*基础页!$B$15/C26)),3,-1,9999)),"")</f>
        <v/>
      </c>
    </row>
    <row r="27" ht="20.25" customHeight="1" spans="1:9">
      <c r="A27" s="3"/>
      <c r="G27" s="5" t="str">
        <f t="shared" si="0"/>
        <v/>
      </c>
      <c r="I27" s="29" t="str">
        <f>IFERROR(IF(H27="ND","ND",XiuYue((((H27-基础页!$B$22)*基础页!$B$15/C27)),3,-1,9999)),"")</f>
        <v/>
      </c>
    </row>
    <row r="28" ht="20.25" customHeight="1" spans="1:9">
      <c r="A28" s="3"/>
      <c r="G28" s="5" t="str">
        <f t="shared" si="0"/>
        <v/>
      </c>
      <c r="I28" s="29" t="str">
        <f>IFERROR(IF(H28="ND","ND",XiuYue((((H28-基础页!$B$22)*基础页!$B$15/C28)),3,-1,9999)),"")</f>
        <v/>
      </c>
    </row>
    <row r="29" ht="20.25" customHeight="1" spans="1:9">
      <c r="A29" s="3"/>
      <c r="G29" s="5" t="str">
        <f t="shared" si="0"/>
        <v/>
      </c>
      <c r="I29" s="29" t="str">
        <f>IFERROR(IF(H29="ND","ND",XiuYue((((H29-基础页!$B$22)*基础页!$B$15/C29)),3,-1,9999)),"")</f>
        <v/>
      </c>
    </row>
    <row r="30" ht="20.25" customHeight="1" spans="1:9">
      <c r="A30" s="3"/>
      <c r="G30" s="5" t="str">
        <f t="shared" si="0"/>
        <v/>
      </c>
      <c r="I30" s="29" t="str">
        <f>IFERROR(IF(H30="ND","ND",XiuYue((((H30-基础页!$B$22)*基础页!$B$15/C30)),3,-1,9999)),"")</f>
        <v/>
      </c>
    </row>
    <row r="31" ht="20.25" customHeight="1" spans="1:9">
      <c r="A31" s="3"/>
      <c r="G31" s="5" t="str">
        <f t="shared" si="0"/>
        <v/>
      </c>
      <c r="I31" s="29" t="str">
        <f>IFERROR(IF(H31="ND","ND",XiuYue((((H31-基础页!$B$22)*基础页!$B$15/C31)),3,-1,9999)),"")</f>
        <v/>
      </c>
    </row>
    <row r="32" ht="20.25" customHeight="1" spans="1:9">
      <c r="A32" s="3"/>
      <c r="G32" s="5" t="str">
        <f t="shared" si="0"/>
        <v/>
      </c>
      <c r="I32" s="29" t="str">
        <f>IFERROR(IF(H32="ND","ND",XiuYue((((H32-基础页!$B$22)*基础页!$B$15/C32)),3,-1,9999)),"")</f>
        <v/>
      </c>
    </row>
    <row r="33" ht="20.25" customHeight="1" spans="1:9">
      <c r="A33" s="3"/>
      <c r="G33" s="5" t="str">
        <f t="shared" si="0"/>
        <v/>
      </c>
      <c r="I33" s="29" t="str">
        <f>IFERROR(IF(H33="ND","ND",XiuYue((((H33-基础页!$B$22)*基础页!$B$15/C33)),3,-1,9999)),"")</f>
        <v/>
      </c>
    </row>
    <row r="34" ht="20.25" customHeight="1" spans="1:9">
      <c r="A34" s="3"/>
      <c r="G34" s="5" t="str">
        <f t="shared" si="0"/>
        <v/>
      </c>
      <c r="I34" s="29" t="str">
        <f>IFERROR(IF(H34="ND","ND",XiuYue((((H34-基础页!$B$22)*基础页!$B$15/C34)),3,-1,9999)),"")</f>
        <v/>
      </c>
    </row>
    <row r="35" ht="20.25" customHeight="1" spans="1:9">
      <c r="A35" s="3"/>
      <c r="G35" s="5" t="str">
        <f t="shared" si="0"/>
        <v/>
      </c>
      <c r="I35" s="29" t="str">
        <f>IFERROR(IF(H35="ND","ND",XiuYue((((H35-基础页!$B$22)*基础页!$B$15/C35)),3,-1,9999)),"")</f>
        <v/>
      </c>
    </row>
    <row r="36" ht="20.25" customHeight="1" spans="1:9">
      <c r="A36" s="3"/>
      <c r="G36" s="5" t="str">
        <f t="shared" si="0"/>
        <v/>
      </c>
      <c r="I36" s="29" t="str">
        <f>IFERROR(IF(H36="ND","ND",XiuYue((((H36-基础页!$B$22)*基础页!$B$15/C36)),3,-1,9999)),"")</f>
        <v/>
      </c>
    </row>
    <row r="37" ht="20.25" customHeight="1" spans="1:9">
      <c r="A37" s="3"/>
      <c r="G37" s="5" t="str">
        <f t="shared" si="0"/>
        <v/>
      </c>
      <c r="I37" s="29" t="str">
        <f>IFERROR(IF(H37="ND","ND",XiuYue((((H37-基础页!$B$22)*基础页!$B$15/C37)),3,-1,9999)),"")</f>
        <v/>
      </c>
    </row>
    <row r="38" ht="20.25" customHeight="1" spans="1:9">
      <c r="A38" s="3"/>
      <c r="G38" s="5" t="str">
        <f t="shared" si="0"/>
        <v/>
      </c>
      <c r="I38" s="29" t="str">
        <f>IFERROR(IF(H38="ND","ND",XiuYue((((H38-基础页!$B$22)*基础页!$B$15/C38)),3,-1,9999)),"")</f>
        <v/>
      </c>
    </row>
    <row r="39" ht="20.25" customHeight="1" spans="1:9">
      <c r="A39" s="3"/>
      <c r="G39" s="5" t="str">
        <f t="shared" si="0"/>
        <v/>
      </c>
      <c r="I39" s="29" t="str">
        <f>IFERROR(IF(H39="ND","ND",XiuYue((((H39-基础页!$B$22)*基础页!$B$15/C39)),3,-1,9999)),"")</f>
        <v/>
      </c>
    </row>
    <row r="40" ht="20.25" customHeight="1" spans="1:9">
      <c r="A40" s="3"/>
      <c r="G40" s="5" t="str">
        <f t="shared" si="0"/>
        <v/>
      </c>
      <c r="I40" s="29" t="str">
        <f>IFERROR(IF(H40="ND","ND",XiuYue((((H40-基础页!$B$22)*基础页!$B$15/C40)),3,-1,9999)),"")</f>
        <v/>
      </c>
    </row>
    <row r="41" ht="20.25" customHeight="1" spans="1:9">
      <c r="A41" s="3"/>
      <c r="G41" s="5" t="str">
        <f t="shared" si="0"/>
        <v/>
      </c>
      <c r="I41" s="29" t="str">
        <f>IFERROR(IF(H41="ND","ND",XiuYue((((H41-基础页!$B$22)*基础页!$B$15/C41)),3,-1,9999)),"")</f>
        <v/>
      </c>
    </row>
    <row r="42" ht="20.25" customHeight="1" spans="1:9">
      <c r="A42" s="3"/>
      <c r="G42" s="5" t="str">
        <f t="shared" si="0"/>
        <v/>
      </c>
      <c r="I42" s="29" t="str">
        <f>IFERROR(IF(H42="ND","ND",XiuYue((((H42-基础页!$B$22)*基础页!$B$15/C42)),3,-1,9999)),"")</f>
        <v/>
      </c>
    </row>
    <row r="43" ht="20.25" customHeight="1" spans="1:9">
      <c r="A43" s="3"/>
      <c r="G43" s="5" t="str">
        <f t="shared" si="0"/>
        <v/>
      </c>
      <c r="I43" s="29" t="str">
        <f>IFERROR(IF(H43="ND","ND",XiuYue((((H43-基础页!$B$22)*基础页!$B$15/C43)),3,-1,9999)),"")</f>
        <v/>
      </c>
    </row>
    <row r="44" ht="20.25" customHeight="1" spans="1:9">
      <c r="A44" s="3"/>
      <c r="G44" s="5" t="str">
        <f t="shared" si="0"/>
        <v/>
      </c>
      <c r="I44" s="29" t="str">
        <f>IFERROR(IF(H44="ND","ND",XiuYue((((H44-基础页!$B$22)*基础页!$B$15/C44)),3,-1,9999)),"")</f>
        <v/>
      </c>
    </row>
    <row r="45" ht="20.25" customHeight="1" spans="1:9">
      <c r="A45" s="3"/>
      <c r="G45" s="5" t="str">
        <f t="shared" si="0"/>
        <v/>
      </c>
      <c r="I45" s="29" t="str">
        <f>IFERROR(IF(H45="ND","ND",XiuYue((((H45-基础页!$B$22)*基础页!$B$15/C45)),3,-1,9999)),"")</f>
        <v/>
      </c>
    </row>
    <row r="46" ht="20.25" customHeight="1" spans="1:9">
      <c r="A46" s="3"/>
      <c r="G46" s="5" t="str">
        <f t="shared" si="0"/>
        <v/>
      </c>
      <c r="I46" s="29" t="str">
        <f>IFERROR(IF(H46="ND","ND",XiuYue((((H46-基础页!$B$22)*基础页!$B$15/C46)),3,-1,9999)),"")</f>
        <v/>
      </c>
    </row>
    <row r="47" ht="20.25" customHeight="1" spans="1:9">
      <c r="A47" s="3"/>
      <c r="G47" s="5" t="str">
        <f t="shared" si="0"/>
        <v/>
      </c>
      <c r="I47" s="29" t="str">
        <f>IFERROR(IF(H47="ND","ND",XiuYue((((H47-基础页!$B$22)*基础页!$B$15/C47)),3,-1,9999)),"")</f>
        <v/>
      </c>
    </row>
    <row r="48" ht="20.25" customHeight="1" spans="1:9">
      <c r="A48" s="3"/>
      <c r="G48" s="5" t="str">
        <f t="shared" si="0"/>
        <v/>
      </c>
      <c r="I48" s="29" t="str">
        <f>IFERROR(IF(H48="ND","ND",XiuYue((((H48-基础页!$B$22)*基础页!$B$15/C48)),3,-1,9999)),"")</f>
        <v/>
      </c>
    </row>
    <row r="49" ht="20.25" customHeight="1" spans="1:9">
      <c r="A49" s="3"/>
      <c r="G49" s="5" t="str">
        <f t="shared" si="0"/>
        <v/>
      </c>
      <c r="I49" s="29" t="str">
        <f>IFERROR(IF(H49="ND","ND",XiuYue((((H49-基础页!$B$22)*基础页!$B$15/C49)),3,-1,9999)),"")</f>
        <v/>
      </c>
    </row>
    <row r="50" ht="20.25" customHeight="1" spans="1:9">
      <c r="A50" s="3"/>
      <c r="G50" s="5" t="str">
        <f t="shared" si="0"/>
        <v/>
      </c>
      <c r="I50" s="29" t="str">
        <f>IFERROR(IF(H50="ND","ND",XiuYue((((H50-基础页!$B$22)*基础页!$B$15/C50)),3,-1,9999)),"")</f>
        <v/>
      </c>
    </row>
    <row r="51" ht="20.25" customHeight="1" spans="1:9">
      <c r="A51" s="3"/>
      <c r="G51" s="5" t="str">
        <f t="shared" si="0"/>
        <v/>
      </c>
      <c r="I51" s="29" t="str">
        <f>IFERROR(IF(H51="ND","ND",XiuYue((((H51-基础页!$B$22)*基础页!$B$15/C51)),3,-1,9999)),"")</f>
        <v/>
      </c>
    </row>
    <row r="52" ht="20.25" customHeight="1" spans="1:9">
      <c r="A52" s="3"/>
      <c r="G52" s="5" t="str">
        <f t="shared" si="0"/>
        <v/>
      </c>
      <c r="I52" s="29" t="str">
        <f>IFERROR(IF(H52="ND","ND",XiuYue((((H52-基础页!$B$22)*基础页!$B$15/C52)),3,-1,9999)),"")</f>
        <v/>
      </c>
    </row>
    <row r="53" ht="20.25" customHeight="1" spans="1:9">
      <c r="A53" s="3"/>
      <c r="G53" s="5" t="str">
        <f t="shared" si="0"/>
        <v/>
      </c>
      <c r="I53" s="29" t="str">
        <f>IFERROR(IF(H53="ND","ND",XiuYue((((H53-基础页!$B$22)*基础页!$B$15/C53)),3,-1,9999)),"")</f>
        <v/>
      </c>
    </row>
    <row r="54" ht="20.25" customHeight="1" spans="1:9">
      <c r="A54" s="3"/>
      <c r="G54" s="5" t="str">
        <f t="shared" si="0"/>
        <v/>
      </c>
      <c r="I54" s="29" t="str">
        <f>IFERROR(IF(H54="ND","ND",XiuYue((((H54-基础页!$B$22)*基础页!$B$15/C54)),3,-1,9999)),"")</f>
        <v/>
      </c>
    </row>
    <row r="55" ht="20.25" customHeight="1" spans="1:9">
      <c r="A55" s="3"/>
      <c r="G55" s="5" t="str">
        <f t="shared" si="0"/>
        <v/>
      </c>
      <c r="I55" s="29" t="str">
        <f>IFERROR(IF(H55="ND","ND",XiuYue((((H55-基础页!$B$22)*基础页!$B$15/C55)),3,-1,9999)),"")</f>
        <v/>
      </c>
    </row>
    <row r="56" ht="20.25" customHeight="1" spans="1:9">
      <c r="A56" s="3"/>
      <c r="G56" s="5" t="str">
        <f t="shared" si="0"/>
        <v/>
      </c>
      <c r="I56" s="29" t="str">
        <f>IFERROR(IF(H56="ND","ND",XiuYue((((H56-基础页!$B$22)*基础页!$B$15/C56)),3,-1,9999)),"")</f>
        <v/>
      </c>
    </row>
    <row r="57" ht="20.25" customHeight="1" spans="1:9">
      <c r="A57" s="3"/>
      <c r="G57" s="5" t="str">
        <f t="shared" si="0"/>
        <v/>
      </c>
      <c r="I57" s="29" t="str">
        <f>IFERROR(IF(H57="ND","ND",XiuYue((((H57-基础页!$B$22)*基础页!$B$15/C57)),3,-1,9999)),"")</f>
        <v/>
      </c>
    </row>
    <row r="58" ht="20.25" customHeight="1" spans="1:9">
      <c r="A58" s="3"/>
      <c r="G58" s="5" t="str">
        <f t="shared" si="0"/>
        <v/>
      </c>
      <c r="I58" s="29" t="str">
        <f>IFERROR(IF(H58="ND","ND",XiuYue((((H58-基础页!$B$22)*基础页!$B$15/C58)),3,-1,9999)),"")</f>
        <v/>
      </c>
    </row>
    <row r="59" ht="20.25" customHeight="1" spans="1:9">
      <c r="A59" s="3"/>
      <c r="G59" s="5" t="str">
        <f t="shared" si="0"/>
        <v/>
      </c>
      <c r="I59" s="29" t="str">
        <f>IFERROR(IF(H59="ND","ND",XiuYue((((H59-基础页!$B$22)*基础页!$B$15/C59)),3,-1,9999)),"")</f>
        <v/>
      </c>
    </row>
    <row r="60" ht="20.25" customHeight="1" spans="1:9">
      <c r="A60" s="3"/>
      <c r="G60" s="5" t="str">
        <f t="shared" si="0"/>
        <v/>
      </c>
      <c r="I60" s="29" t="str">
        <f>IFERROR(IF(H60="ND","ND",XiuYue((((H60-基础页!$B$22)*基础页!$B$15/C60)),3,-1,9999)),"")</f>
        <v/>
      </c>
    </row>
    <row r="61" ht="20.25" customHeight="1" spans="1:9">
      <c r="A61" s="3"/>
      <c r="G61" s="5" t="str">
        <f t="shared" si="0"/>
        <v/>
      </c>
      <c r="I61" s="29" t="str">
        <f>IFERROR(IF(H61="ND","ND",XiuYue((((H61-基础页!$B$22)*基础页!$B$15/C61)),3,-1,9999)),"")</f>
        <v/>
      </c>
    </row>
    <row r="62" ht="20.25" customHeight="1" spans="1:9">
      <c r="A62" s="3"/>
      <c r="G62" s="5" t="str">
        <f t="shared" si="0"/>
        <v/>
      </c>
      <c r="I62" s="29" t="str">
        <f>IFERROR(IF(H62="ND","ND",XiuYue((((H62-基础页!$B$22)*基础页!$B$15/C62)),3,-1,9999)),"")</f>
        <v/>
      </c>
    </row>
    <row r="63" ht="20.25" customHeight="1" spans="1:9">
      <c r="A63" s="3"/>
      <c r="G63" s="5" t="str">
        <f t="shared" si="0"/>
        <v/>
      </c>
      <c r="I63" s="29" t="str">
        <f>IFERROR(IF(H63="ND","ND",XiuYue((((H63-基础页!$B$22)*基础页!$B$15/C63)),3,-1,9999)),"")</f>
        <v/>
      </c>
    </row>
    <row r="64" ht="20.25" customHeight="1" spans="1:9">
      <c r="A64" s="3"/>
      <c r="G64" s="5" t="str">
        <f t="shared" si="0"/>
        <v/>
      </c>
      <c r="I64" s="29" t="str">
        <f>IFERROR(IF(H64="ND","ND",XiuYue((((H64-基础页!$B$22)*基础页!$B$15/C64)),3,-1,9999)),"")</f>
        <v/>
      </c>
    </row>
    <row r="65" ht="20.25" customHeight="1" spans="1:9">
      <c r="A65" s="3"/>
      <c r="G65" s="5" t="str">
        <f t="shared" si="0"/>
        <v/>
      </c>
      <c r="I65" s="29" t="str">
        <f>IFERROR(IF(H65="ND","ND",XiuYue((((H65-基础页!$B$22)*基础页!$B$15/C65)),3,-1,9999)),"")</f>
        <v/>
      </c>
    </row>
    <row r="66" ht="20.25" customHeight="1" spans="1:9">
      <c r="A66" s="3"/>
      <c r="G66" s="5" t="str">
        <f t="shared" si="0"/>
        <v/>
      </c>
      <c r="I66" s="29" t="str">
        <f>IFERROR(IF(H66="ND","ND",XiuYue((((H66-基础页!$B$22)*基础页!$B$15/C66)),3,-1,9999)),"")</f>
        <v/>
      </c>
    </row>
    <row r="67" ht="20.25" customHeight="1" spans="1:9">
      <c r="A67" s="3"/>
      <c r="G67" s="5" t="str">
        <f t="shared" si="0"/>
        <v/>
      </c>
      <c r="I67" s="29" t="str">
        <f>IFERROR(IF(H67="ND","ND",XiuYue((((H67-基础页!$B$22)*基础页!$B$15/C67)),3,-1,9999)),"")</f>
        <v/>
      </c>
    </row>
    <row r="68" ht="20.25" customHeight="1" spans="1:9">
      <c r="A68" s="3"/>
      <c r="G68" s="5" t="str">
        <f t="shared" si="0"/>
        <v/>
      </c>
      <c r="I68" s="29" t="str">
        <f>IFERROR(IF(H68="ND","ND",XiuYue((((H68-基础页!$B$22)*基础页!$B$15/C68)),3,-1,9999)),"")</f>
        <v/>
      </c>
    </row>
    <row r="69" ht="20.25" customHeight="1" spans="1:9">
      <c r="A69" s="3"/>
      <c r="G69" s="5" t="str">
        <f t="shared" si="0"/>
        <v/>
      </c>
      <c r="I69" s="29" t="str">
        <f>IFERROR(IF(H69="ND","ND",XiuYue((((H69-基础页!$B$22)*基础页!$B$15/C69)),3,-1,9999)),"")</f>
        <v/>
      </c>
    </row>
    <row r="70" ht="20.25" customHeight="1" spans="1:9">
      <c r="A70" s="3"/>
      <c r="G70" s="5" t="str">
        <f t="shared" ref="G70:G133" si="1">IFERROR(IF(ISBLANK(H70),"",IF(I70="ND","否","是")),"")</f>
        <v/>
      </c>
      <c r="I70" s="29" t="str">
        <f>IFERROR(IF(H70="ND","ND",XiuYue((((H70-基础页!$B$22)*基础页!$B$15/C70)),3,-1,9999)),"")</f>
        <v/>
      </c>
    </row>
    <row r="71" ht="20.25" customHeight="1" spans="1:9">
      <c r="A71" s="3"/>
      <c r="G71" s="5" t="str">
        <f t="shared" si="1"/>
        <v/>
      </c>
      <c r="I71" s="29" t="str">
        <f>IFERROR(IF(H71="ND","ND",XiuYue((((H71-基础页!$B$22)*基础页!$B$15/C71)),3,-1,9999)),"")</f>
        <v/>
      </c>
    </row>
    <row r="72" ht="20.25" customHeight="1" spans="1:9">
      <c r="A72" s="3"/>
      <c r="G72" s="5" t="str">
        <f t="shared" si="1"/>
        <v/>
      </c>
      <c r="I72" s="29" t="str">
        <f>IFERROR(IF(H72="ND","ND",XiuYue((((H72-基础页!$B$22)*基础页!$B$15/C72)),3,-1,9999)),"")</f>
        <v/>
      </c>
    </row>
    <row r="73" ht="20.25" customHeight="1" spans="1:9">
      <c r="A73" s="3"/>
      <c r="G73" s="5" t="str">
        <f t="shared" si="1"/>
        <v/>
      </c>
      <c r="I73" s="29" t="str">
        <f>IFERROR(IF(H73="ND","ND",XiuYue((((H73-基础页!$B$22)*基础页!$B$15/C73)),3,-1,9999)),"")</f>
        <v/>
      </c>
    </row>
    <row r="74" ht="20.25" customHeight="1" spans="1:9">
      <c r="A74" s="3"/>
      <c r="G74" s="5" t="str">
        <f t="shared" si="1"/>
        <v/>
      </c>
      <c r="I74" s="29" t="str">
        <f>IFERROR(IF(H74="ND","ND",XiuYue((((H74-基础页!$B$22)*基础页!$B$15/C74)),3,-1,9999)),"")</f>
        <v/>
      </c>
    </row>
    <row r="75" ht="20.25" customHeight="1" spans="1:9">
      <c r="A75" s="3"/>
      <c r="G75" s="5" t="str">
        <f t="shared" si="1"/>
        <v/>
      </c>
      <c r="I75" s="29" t="str">
        <f>IFERROR(IF(H75="ND","ND",XiuYue((((H75-基础页!$B$22)*基础页!$B$15/C75)),3,-1,9999)),"")</f>
        <v/>
      </c>
    </row>
    <row r="76" ht="20.25" customHeight="1" spans="1:9">
      <c r="A76" s="3"/>
      <c r="G76" s="5" t="str">
        <f t="shared" si="1"/>
        <v/>
      </c>
      <c r="I76" s="29" t="str">
        <f>IFERROR(IF(H76="ND","ND",XiuYue((((H76-基础页!$B$22)*基础页!$B$15/C76)),3,-1,9999)),"")</f>
        <v/>
      </c>
    </row>
    <row r="77" ht="20.25" customHeight="1" spans="1:9">
      <c r="A77" s="3"/>
      <c r="G77" s="5" t="str">
        <f t="shared" si="1"/>
        <v/>
      </c>
      <c r="I77" s="29" t="str">
        <f>IFERROR(IF(H77="ND","ND",XiuYue((((H77-基础页!$B$22)*基础页!$B$15/C77)),3,-1,9999)),"")</f>
        <v/>
      </c>
    </row>
    <row r="78" ht="20.25" customHeight="1" spans="1:9">
      <c r="A78" s="3"/>
      <c r="G78" s="5" t="str">
        <f t="shared" si="1"/>
        <v/>
      </c>
      <c r="I78" s="29" t="str">
        <f>IFERROR(IF(H78="ND","ND",XiuYue((((H78-基础页!$B$22)*基础页!$B$15/C78)),3,-1,9999)),"")</f>
        <v/>
      </c>
    </row>
    <row r="79" ht="20.25" customHeight="1" spans="1:9">
      <c r="A79" s="3"/>
      <c r="G79" s="5" t="str">
        <f t="shared" si="1"/>
        <v/>
      </c>
      <c r="I79" s="29" t="str">
        <f>IFERROR(IF(H79="ND","ND",XiuYue((((H79-基础页!$B$22)*基础页!$B$15/C79)),3,-1,9999)),"")</f>
        <v/>
      </c>
    </row>
    <row r="80" ht="20.25" customHeight="1" spans="1:9">
      <c r="A80" s="3"/>
      <c r="G80" s="5" t="str">
        <f t="shared" si="1"/>
        <v/>
      </c>
      <c r="I80" s="29" t="str">
        <f>IFERROR(IF(H80="ND","ND",XiuYue((((H80-基础页!$B$22)*基础页!$B$15/C80)),3,-1,9999)),"")</f>
        <v/>
      </c>
    </row>
    <row r="81" ht="20.25" customHeight="1" spans="1:9">
      <c r="A81" s="3"/>
      <c r="G81" s="5" t="str">
        <f t="shared" si="1"/>
        <v/>
      </c>
      <c r="I81" s="29" t="str">
        <f>IFERROR(IF(H81="ND","ND",XiuYue((((H81-基础页!$B$22)*基础页!$B$15/C81)),3,-1,9999)),"")</f>
        <v/>
      </c>
    </row>
    <row r="82" ht="20.25" customHeight="1" spans="1:9">
      <c r="A82" s="3"/>
      <c r="G82" s="5" t="str">
        <f t="shared" si="1"/>
        <v/>
      </c>
      <c r="I82" s="29" t="str">
        <f>IFERROR(IF(H82="ND","ND",XiuYue((((H82-基础页!$B$22)*基础页!$B$15/C82)),3,-1,9999)),"")</f>
        <v/>
      </c>
    </row>
    <row r="83" ht="20.25" customHeight="1" spans="1:9">
      <c r="A83" s="3"/>
      <c r="G83" s="5" t="str">
        <f t="shared" si="1"/>
        <v/>
      </c>
      <c r="I83" s="29" t="str">
        <f>IFERROR(IF(H83="ND","ND",XiuYue((((H83-基础页!$B$22)*基础页!$B$15/C83)),3,-1,9999)),"")</f>
        <v/>
      </c>
    </row>
    <row r="84" ht="20.25" customHeight="1" spans="1:9">
      <c r="A84" s="3"/>
      <c r="G84" s="5" t="str">
        <f t="shared" si="1"/>
        <v/>
      </c>
      <c r="I84" s="29" t="str">
        <f>IFERROR(IF(H84="ND","ND",XiuYue((((H84-基础页!$B$22)*基础页!$B$15/C84)),3,-1,9999)),"")</f>
        <v/>
      </c>
    </row>
    <row r="85" ht="20.25" customHeight="1" spans="1:9">
      <c r="A85" s="3"/>
      <c r="G85" s="5" t="str">
        <f t="shared" si="1"/>
        <v/>
      </c>
      <c r="I85" s="29" t="str">
        <f>IFERROR(IF(H85="ND","ND",XiuYue((((H85-基础页!$B$22)*基础页!$B$15/C85)),3,-1,9999)),"")</f>
        <v/>
      </c>
    </row>
    <row r="86" ht="20.25" customHeight="1" spans="1:9">
      <c r="A86" s="3"/>
      <c r="G86" s="5" t="str">
        <f t="shared" si="1"/>
        <v/>
      </c>
      <c r="I86" s="29" t="str">
        <f>IFERROR(IF(H86="ND","ND",XiuYue((((H86-基础页!$B$22)*基础页!$B$15/C86)),3,-1,9999)),"")</f>
        <v/>
      </c>
    </row>
    <row r="87" ht="20.25" customHeight="1" spans="1:9">
      <c r="A87" s="3"/>
      <c r="G87" s="5" t="str">
        <f t="shared" si="1"/>
        <v/>
      </c>
      <c r="I87" s="29" t="str">
        <f>IFERROR(IF(H87="ND","ND",XiuYue((((H87-基础页!$B$22)*基础页!$B$15/C87)),3,-1,9999)),"")</f>
        <v/>
      </c>
    </row>
    <row r="88" ht="20.25" customHeight="1" spans="1:9">
      <c r="A88" s="3"/>
      <c r="G88" s="5" t="str">
        <f t="shared" si="1"/>
        <v/>
      </c>
      <c r="I88" s="29" t="str">
        <f>IFERROR(IF(H88="ND","ND",XiuYue((((H88-基础页!$B$22)*基础页!$B$15/C88)),3,-1,9999)),"")</f>
        <v/>
      </c>
    </row>
    <row r="89" ht="20.25" customHeight="1" spans="1:9">
      <c r="A89" s="3"/>
      <c r="G89" s="5" t="str">
        <f t="shared" si="1"/>
        <v/>
      </c>
      <c r="I89" s="29" t="str">
        <f>IFERROR(IF(H89="ND","ND",XiuYue((((H89-基础页!$B$22)*基础页!$B$15/C89)),3,-1,9999)),"")</f>
        <v/>
      </c>
    </row>
    <row r="90" ht="20.25" customHeight="1" spans="1:9">
      <c r="A90" s="3"/>
      <c r="G90" s="5" t="str">
        <f t="shared" si="1"/>
        <v/>
      </c>
      <c r="I90" s="29" t="str">
        <f>IFERROR(IF(H90="ND","ND",XiuYue((((H90-基础页!$B$22)*基础页!$B$15/C90)),3,-1,9999)),"")</f>
        <v/>
      </c>
    </row>
    <row r="91" ht="20.25" customHeight="1" spans="1:9">
      <c r="A91" s="3"/>
      <c r="G91" s="5" t="str">
        <f t="shared" si="1"/>
        <v/>
      </c>
      <c r="I91" s="29" t="str">
        <f>IFERROR(IF(H91="ND","ND",XiuYue((((H91-基础页!$B$22)*基础页!$B$15/C91)),3,-1,9999)),"")</f>
        <v/>
      </c>
    </row>
    <row r="92" ht="20.25" customHeight="1" spans="1:9">
      <c r="A92" s="3"/>
      <c r="G92" s="5" t="str">
        <f t="shared" si="1"/>
        <v/>
      </c>
      <c r="I92" s="29" t="str">
        <f>IFERROR(IF(H92="ND","ND",XiuYue((((H92-基础页!$B$22)*基础页!$B$15/C92)),3,-1,9999)),"")</f>
        <v/>
      </c>
    </row>
    <row r="93" ht="20.25" customHeight="1" spans="1:9">
      <c r="A93" s="3"/>
      <c r="G93" s="5" t="str">
        <f t="shared" si="1"/>
        <v/>
      </c>
      <c r="I93" s="29" t="str">
        <f>IFERROR(IF(H93="ND","ND",XiuYue((((H93-基础页!$B$22)*基础页!$B$15/C93)),3,-1,9999)),"")</f>
        <v/>
      </c>
    </row>
    <row r="94" ht="20.25" customHeight="1" spans="1:9">
      <c r="A94" s="3"/>
      <c r="G94" s="5" t="str">
        <f t="shared" si="1"/>
        <v/>
      </c>
      <c r="I94" s="29" t="str">
        <f>IFERROR(IF(H94="ND","ND",XiuYue((((H94-基础页!$B$22)*基础页!$B$15/C94)),3,-1,9999)),"")</f>
        <v/>
      </c>
    </row>
    <row r="95" ht="20.25" customHeight="1" spans="1:9">
      <c r="A95" s="3"/>
      <c r="G95" s="5" t="str">
        <f t="shared" si="1"/>
        <v/>
      </c>
      <c r="I95" s="29" t="str">
        <f>IFERROR(IF(H95="ND","ND",XiuYue((((H95-基础页!$B$22)*基础页!$B$15/C95)),3,-1,9999)),"")</f>
        <v/>
      </c>
    </row>
    <row r="96" ht="20.25" customHeight="1" spans="1:9">
      <c r="A96" s="3"/>
      <c r="G96" s="5" t="str">
        <f t="shared" si="1"/>
        <v/>
      </c>
      <c r="I96" s="29" t="str">
        <f>IFERROR(IF(H96="ND","ND",XiuYue((((H96-基础页!$B$22)*基础页!$B$15/C96)),3,-1,9999)),"")</f>
        <v/>
      </c>
    </row>
    <row r="97" ht="20.25" customHeight="1" spans="1:9">
      <c r="A97" s="3"/>
      <c r="G97" s="5" t="str">
        <f t="shared" si="1"/>
        <v/>
      </c>
      <c r="I97" s="29" t="str">
        <f>IFERROR(IF(H97="ND","ND",XiuYue((((H97-基础页!$B$22)*基础页!$B$15/C97)),3,-1,9999)),"")</f>
        <v/>
      </c>
    </row>
    <row r="98" ht="20.25" customHeight="1" spans="1:9">
      <c r="A98" s="3"/>
      <c r="G98" s="5" t="str">
        <f t="shared" si="1"/>
        <v/>
      </c>
      <c r="I98" s="29" t="str">
        <f>IFERROR(IF(H98="ND","ND",XiuYue((((H98-基础页!$B$22)*基础页!$B$15/C98)),3,-1,9999)),"")</f>
        <v/>
      </c>
    </row>
    <row r="99" ht="20.25" customHeight="1" spans="1:9">
      <c r="A99" s="3"/>
      <c r="G99" s="5" t="str">
        <f t="shared" si="1"/>
        <v/>
      </c>
      <c r="I99" s="29" t="str">
        <f>IFERROR(IF(H99="ND","ND",XiuYue((((H99-基础页!$B$22)*基础页!$B$15/C99)),3,-1,9999)),"")</f>
        <v/>
      </c>
    </row>
    <row r="100" ht="20.25" customHeight="1" spans="1:9">
      <c r="A100" s="3"/>
      <c r="G100" s="5" t="str">
        <f t="shared" si="1"/>
        <v/>
      </c>
      <c r="I100" s="29" t="str">
        <f>IFERROR(IF(H100="ND","ND",XiuYue((((H100-基础页!$B$22)*基础页!$B$15/C100)),3,-1,9999)),"")</f>
        <v/>
      </c>
    </row>
    <row r="101" ht="20.25" customHeight="1" spans="1:9">
      <c r="A101" s="3"/>
      <c r="G101" s="5" t="str">
        <f t="shared" si="1"/>
        <v/>
      </c>
      <c r="I101" s="29" t="str">
        <f>IFERROR(IF(H101="ND","ND",XiuYue((((H101-基础页!$B$22)*基础页!$B$15/C101)),3,-1,9999)),"")</f>
        <v/>
      </c>
    </row>
    <row r="102" ht="20.25" customHeight="1" spans="1:9">
      <c r="A102" s="3"/>
      <c r="G102" s="5" t="str">
        <f t="shared" si="1"/>
        <v/>
      </c>
      <c r="I102" s="29" t="str">
        <f>IFERROR(IF(H102="ND","ND",XiuYue((((H102-基础页!$B$22)*基础页!$B$15/C102)),3,-1,9999)),"")</f>
        <v/>
      </c>
    </row>
    <row r="103" ht="20.25" customHeight="1" spans="1:9">
      <c r="A103" s="3"/>
      <c r="G103" s="5" t="str">
        <f t="shared" si="1"/>
        <v/>
      </c>
      <c r="I103" s="29" t="str">
        <f>IFERROR(IF(H103="ND","ND",XiuYue((((H103-基础页!$B$22)*基础页!$B$15/C103)),3,-1,9999)),"")</f>
        <v/>
      </c>
    </row>
    <row r="104" ht="20.25" customHeight="1" spans="1:9">
      <c r="A104" s="3"/>
      <c r="G104" s="5" t="str">
        <f t="shared" si="1"/>
        <v/>
      </c>
      <c r="I104" s="29" t="str">
        <f>IFERROR(IF(H104="ND","ND",XiuYue((((H104-基础页!$B$22)*基础页!$B$15/C104)),3,-1,9999)),"")</f>
        <v/>
      </c>
    </row>
    <row r="105" ht="20.25" customHeight="1" spans="1:9">
      <c r="A105" s="3"/>
      <c r="G105" s="5" t="str">
        <f t="shared" si="1"/>
        <v/>
      </c>
      <c r="I105" s="29" t="str">
        <f>IFERROR(IF(H105="ND","ND",XiuYue((((H105-基础页!$B$22)*基础页!$B$15/C105)),3,-1,9999)),"")</f>
        <v/>
      </c>
    </row>
    <row r="106" ht="20.25" customHeight="1" spans="1:9">
      <c r="A106" s="3"/>
      <c r="G106" s="5" t="str">
        <f t="shared" si="1"/>
        <v/>
      </c>
      <c r="I106" s="29" t="str">
        <f>IFERROR(IF(H106="ND","ND",XiuYue((((H106-基础页!$B$22)*基础页!$B$15/C106)),3,-1,9999)),"")</f>
        <v/>
      </c>
    </row>
    <row r="107" ht="20.25" customHeight="1" spans="1:9">
      <c r="A107" s="3"/>
      <c r="G107" s="5" t="str">
        <f t="shared" si="1"/>
        <v/>
      </c>
      <c r="I107" s="29" t="str">
        <f>IFERROR(IF(H107="ND","ND",XiuYue((((H107-基础页!$B$22)*基础页!$B$15/C107)),3,-1,9999)),"")</f>
        <v/>
      </c>
    </row>
    <row r="108" ht="20.25" customHeight="1" spans="1:9">
      <c r="A108" s="3"/>
      <c r="G108" s="5" t="str">
        <f t="shared" si="1"/>
        <v/>
      </c>
      <c r="I108" s="29" t="str">
        <f>IFERROR(IF(H108="ND","ND",XiuYue((((H108-基础页!$B$22)*基础页!$B$15/C108)),3,-1,9999)),"")</f>
        <v/>
      </c>
    </row>
    <row r="109" ht="20.25" customHeight="1" spans="1:9">
      <c r="A109" s="3"/>
      <c r="G109" s="5" t="str">
        <f t="shared" si="1"/>
        <v/>
      </c>
      <c r="I109" s="29" t="str">
        <f>IFERROR(IF(H109="ND","ND",XiuYue((((H109-基础页!$B$22)*基础页!$B$15/C109)),3,-1,9999)),"")</f>
        <v/>
      </c>
    </row>
    <row r="110" ht="20.25" customHeight="1" spans="1:9">
      <c r="A110" s="3"/>
      <c r="G110" s="5" t="str">
        <f t="shared" si="1"/>
        <v/>
      </c>
      <c r="I110" s="29" t="str">
        <f>IFERROR(IF(H110="ND","ND",XiuYue((((H110-基础页!$B$22)*基础页!$B$15/C110)),3,-1,9999)),"")</f>
        <v/>
      </c>
    </row>
    <row r="111" ht="20.25" customHeight="1" spans="1:9">
      <c r="A111" s="3"/>
      <c r="G111" s="5" t="str">
        <f t="shared" si="1"/>
        <v/>
      </c>
      <c r="I111" s="29" t="str">
        <f>IFERROR(IF(H111="ND","ND",XiuYue((((H111-基础页!$B$22)*基础页!$B$15/C111)),3,-1,9999)),"")</f>
        <v/>
      </c>
    </row>
    <row r="112" ht="20.25" customHeight="1" spans="1:9">
      <c r="A112" s="3"/>
      <c r="G112" s="5" t="str">
        <f t="shared" si="1"/>
        <v/>
      </c>
      <c r="I112" s="29" t="str">
        <f>IFERROR(IF(H112="ND","ND",XiuYue((((H112-基础页!$B$22)*基础页!$B$15/C112)),3,-1,9999)),"")</f>
        <v/>
      </c>
    </row>
    <row r="113" ht="20.25" customHeight="1" spans="1:9">
      <c r="A113" s="3"/>
      <c r="G113" s="5" t="str">
        <f t="shared" si="1"/>
        <v/>
      </c>
      <c r="I113" s="29" t="str">
        <f>IFERROR(IF(H113="ND","ND",XiuYue((((H113-基础页!$B$22)*基础页!$B$15/C113)),3,-1,9999)),"")</f>
        <v/>
      </c>
    </row>
    <row r="114" ht="20.25" customHeight="1" spans="1:9">
      <c r="A114" s="3"/>
      <c r="G114" s="5" t="str">
        <f t="shared" si="1"/>
        <v/>
      </c>
      <c r="I114" s="29" t="str">
        <f>IFERROR(IF(H114="ND","ND",XiuYue((((H114-基础页!$B$22)*基础页!$B$15/C114)),3,-1,9999)),"")</f>
        <v/>
      </c>
    </row>
    <row r="115" ht="20.25" customHeight="1" spans="1:9">
      <c r="A115" s="3"/>
      <c r="G115" s="5" t="str">
        <f t="shared" si="1"/>
        <v/>
      </c>
      <c r="I115" s="29" t="str">
        <f>IFERROR(IF(H115="ND","ND",XiuYue((((H115-基础页!$B$22)*基础页!$B$15/C115)),3,-1,9999)),"")</f>
        <v/>
      </c>
    </row>
    <row r="116" ht="20.25" customHeight="1" spans="1:9">
      <c r="A116" s="3"/>
      <c r="G116" s="5" t="str">
        <f t="shared" si="1"/>
        <v/>
      </c>
      <c r="I116" s="29" t="str">
        <f>IFERROR(IF(H116="ND","ND",XiuYue((((H116-基础页!$B$22)*基础页!$B$15/C116)),3,-1,9999)),"")</f>
        <v/>
      </c>
    </row>
    <row r="117" ht="20.25" customHeight="1" spans="1:9">
      <c r="A117" s="3"/>
      <c r="G117" s="5" t="str">
        <f t="shared" si="1"/>
        <v/>
      </c>
      <c r="I117" s="29" t="str">
        <f>IFERROR(IF(H117="ND","ND",XiuYue((((H117-基础页!$B$22)*基础页!$B$15/C117)),3,-1,9999)),"")</f>
        <v/>
      </c>
    </row>
    <row r="118" ht="20.25" customHeight="1" spans="1:9">
      <c r="A118" s="3"/>
      <c r="G118" s="5" t="str">
        <f t="shared" si="1"/>
        <v/>
      </c>
      <c r="I118" s="29" t="str">
        <f>IFERROR(IF(H118="ND","ND",XiuYue((((H118-基础页!$B$22)*基础页!$B$15/C118)),3,-1,9999)),"")</f>
        <v/>
      </c>
    </row>
    <row r="119" ht="20.25" customHeight="1" spans="1:9">
      <c r="A119" s="3"/>
      <c r="G119" s="5" t="str">
        <f t="shared" si="1"/>
        <v/>
      </c>
      <c r="I119" s="29" t="str">
        <f>IFERROR(IF(H119="ND","ND",XiuYue((((H119-基础页!$B$22)*基础页!$B$15/C119)),3,-1,9999)),"")</f>
        <v/>
      </c>
    </row>
    <row r="120" ht="20.25" customHeight="1" spans="1:9">
      <c r="A120" s="3"/>
      <c r="G120" s="5" t="str">
        <f t="shared" si="1"/>
        <v/>
      </c>
      <c r="I120" s="29" t="str">
        <f>IFERROR(IF(H120="ND","ND",XiuYue((((H120-基础页!$B$22)*基础页!$B$15/C120)),3,-1,9999)),"")</f>
        <v/>
      </c>
    </row>
    <row r="121" ht="20.25" customHeight="1" spans="1:9">
      <c r="A121" s="3"/>
      <c r="G121" s="5" t="str">
        <f t="shared" si="1"/>
        <v/>
      </c>
      <c r="I121" s="29" t="str">
        <f>IFERROR(IF(H121="ND","ND",XiuYue((((H121-基础页!$B$22)*基础页!$B$15/C121)),3,-1,9999)),"")</f>
        <v/>
      </c>
    </row>
    <row r="122" ht="20.25" customHeight="1" spans="1:9">
      <c r="A122" s="3"/>
      <c r="G122" s="5" t="str">
        <f t="shared" si="1"/>
        <v/>
      </c>
      <c r="I122" s="29" t="str">
        <f>IFERROR(IF(H122="ND","ND",XiuYue((((H122-基础页!$B$22)*基础页!$B$15/C122)),3,-1,9999)),"")</f>
        <v/>
      </c>
    </row>
    <row r="123" ht="20.25" customHeight="1" spans="1:9">
      <c r="A123" s="3"/>
      <c r="G123" s="5" t="str">
        <f t="shared" si="1"/>
        <v/>
      </c>
      <c r="I123" s="29" t="str">
        <f>IFERROR(IF(H123="ND","ND",XiuYue((((H123-基础页!$B$22)*基础页!$B$15/C123)),3,-1,9999)),"")</f>
        <v/>
      </c>
    </row>
    <row r="124" ht="20.25" customHeight="1" spans="1:9">
      <c r="A124" s="3"/>
      <c r="G124" s="5" t="str">
        <f t="shared" si="1"/>
        <v/>
      </c>
      <c r="I124" s="29" t="str">
        <f>IFERROR(IF(H124="ND","ND",XiuYue((((H124-基础页!$B$22)*基础页!$B$15/C124)),3,-1,9999)),"")</f>
        <v/>
      </c>
    </row>
    <row r="125" ht="20.25" customHeight="1" spans="1:9">
      <c r="A125" s="3"/>
      <c r="G125" s="5" t="str">
        <f t="shared" si="1"/>
        <v/>
      </c>
      <c r="I125" s="29" t="str">
        <f>IFERROR(IF(H125="ND","ND",XiuYue((((H125-基础页!$B$22)*基础页!$B$15/C125)),3,-1,9999)),"")</f>
        <v/>
      </c>
    </row>
    <row r="126" ht="20.25" customHeight="1" spans="1:9">
      <c r="A126" s="3"/>
      <c r="G126" s="5" t="str">
        <f t="shared" si="1"/>
        <v/>
      </c>
      <c r="I126" s="29" t="str">
        <f>IFERROR(IF(H126="ND","ND",XiuYue((((H126-基础页!$B$22)*基础页!$B$15/C126)),3,-1,9999)),"")</f>
        <v/>
      </c>
    </row>
    <row r="127" ht="20.25" customHeight="1" spans="1:9">
      <c r="A127" s="3"/>
      <c r="G127" s="5" t="str">
        <f t="shared" si="1"/>
        <v/>
      </c>
      <c r="I127" s="29" t="str">
        <f>IFERROR(IF(H127="ND","ND",XiuYue((((H127-基础页!$B$22)*基础页!$B$15/C127)),3,-1,9999)),"")</f>
        <v/>
      </c>
    </row>
    <row r="128" ht="20.25" customHeight="1" spans="1:9">
      <c r="A128" s="3"/>
      <c r="G128" s="5" t="str">
        <f t="shared" si="1"/>
        <v/>
      </c>
      <c r="I128" s="29" t="str">
        <f>IFERROR(IF(H128="ND","ND",XiuYue((((H128-基础页!$B$22)*基础页!$B$15/C128)),3,-1,9999)),"")</f>
        <v/>
      </c>
    </row>
    <row r="129" ht="20.25" customHeight="1" spans="1:9">
      <c r="A129" s="3"/>
      <c r="G129" s="5" t="str">
        <f t="shared" si="1"/>
        <v/>
      </c>
      <c r="I129" s="29" t="str">
        <f>IFERROR(IF(H129="ND","ND",XiuYue((((H129-基础页!$B$22)*基础页!$B$15/C129)),3,-1,9999)),"")</f>
        <v/>
      </c>
    </row>
    <row r="130" ht="20.25" customHeight="1" spans="1:9">
      <c r="A130" s="3"/>
      <c r="G130" s="5" t="str">
        <f t="shared" si="1"/>
        <v/>
      </c>
      <c r="I130" s="29" t="str">
        <f>IFERROR(IF(H130="ND","ND",XiuYue((((H130-基础页!$B$22)*基础页!$B$15/C130)),3,-1,9999)),"")</f>
        <v/>
      </c>
    </row>
    <row r="131" ht="20.25" customHeight="1" spans="1:9">
      <c r="A131" s="3"/>
      <c r="G131" s="5" t="str">
        <f t="shared" si="1"/>
        <v/>
      </c>
      <c r="I131" s="29" t="str">
        <f>IFERROR(IF(H131="ND","ND",XiuYue((((H131-基础页!$B$22)*基础页!$B$15/C131)),3,-1,9999)),"")</f>
        <v/>
      </c>
    </row>
    <row r="132" ht="20.25" customHeight="1" spans="1:9">
      <c r="A132" s="3"/>
      <c r="G132" s="5" t="str">
        <f t="shared" si="1"/>
        <v/>
      </c>
      <c r="I132" s="29" t="str">
        <f>IFERROR(IF(H132="ND","ND",XiuYue((((H132-基础页!$B$22)*基础页!$B$15/C132)),3,-1,9999)),"")</f>
        <v/>
      </c>
    </row>
    <row r="133" ht="20.25" customHeight="1" spans="1:9">
      <c r="A133" s="3"/>
      <c r="G133" s="5" t="str">
        <f t="shared" si="1"/>
        <v/>
      </c>
      <c r="I133" s="29" t="str">
        <f>IFERROR(IF(H133="ND","ND",XiuYue((((H133-基础页!$B$22)*基础页!$B$15/C133)),3,-1,9999)),"")</f>
        <v/>
      </c>
    </row>
    <row r="134" ht="20.25" customHeight="1" spans="1:9">
      <c r="A134" s="3"/>
      <c r="G134" s="5" t="str">
        <f t="shared" ref="G134:G137" si="2">IFERROR(IF(ISBLANK(H134),"",IF(I134="ND","否","是")),"")</f>
        <v/>
      </c>
      <c r="I134" s="29" t="str">
        <f>IFERROR(IF(H134="ND","ND",XiuYue((((H134-基础页!$B$22)*基础页!$B$15/C134)),3,-1,9999)),"")</f>
        <v/>
      </c>
    </row>
    <row r="135" ht="20.25" customHeight="1" spans="1:9">
      <c r="A135" s="3"/>
      <c r="G135" s="5" t="str">
        <f t="shared" si="2"/>
        <v/>
      </c>
      <c r="I135" s="29" t="str">
        <f>IFERROR(IF(H135="ND","ND",XiuYue((((H135-基础页!$B$22)*基础页!$B$15/C135)),3,-1,9999)),"")</f>
        <v/>
      </c>
    </row>
    <row r="136" ht="20.25" customHeight="1" spans="7:9">
      <c r="G136" s="5" t="str">
        <f t="shared" si="2"/>
        <v/>
      </c>
      <c r="I136" s="29" t="str">
        <f>IFERROR(IF(H136="ND","ND",XiuYue((((H136-基础页!$B$22)*基础页!$B$15/C136)),3,-1,9999)),"")</f>
        <v/>
      </c>
    </row>
    <row r="137" ht="20.25" customHeight="1" spans="7:9">
      <c r="G137" s="5" t="str">
        <f t="shared" si="2"/>
        <v/>
      </c>
      <c r="I137" s="29" t="str">
        <f>IFERROR(IF(H137="ND","ND",XiuYue((((H137-基础页!$B$22)*基础页!$B$15/C137)),3,-1,9999)),"")</f>
        <v/>
      </c>
    </row>
    <row r="138" ht="20.25" customHeight="1" spans="9:9">
      <c r="I138" s="29" t="str">
        <f>IFERROR(IF(H138="ND","ND",XiuYue((((H138-基础页!$B$22)*基础页!$B$15/C138)),3,-1,9999)),"")</f>
        <v/>
      </c>
    </row>
    <row r="139" ht="20.25" customHeight="1" spans="9:9">
      <c r="I139" s="29" t="str">
        <f>IFERROR(IF(H139="ND","ND",XiuYue((((H139-基础页!$B$22)*基础页!$B$15/C139)),3,-1,9999)),"")</f>
        <v/>
      </c>
    </row>
    <row r="140" ht="20.25" customHeight="1" spans="9:9">
      <c r="I140" s="29" t="str">
        <f>IFERROR(IF(H140="ND","ND",XiuYue((((H140-基础页!$B$22)*基础页!$B$15/C140)),3,-1,9999)),"")</f>
        <v/>
      </c>
    </row>
    <row r="141" ht="20.25" customHeight="1" spans="9:9">
      <c r="I141" s="29" t="str">
        <f>IFERROR(IF(H141="ND","ND",XiuYue((((H141-基础页!$B$22)*基础页!$B$15/C141)),3,-1,9999)),"")</f>
        <v/>
      </c>
    </row>
    <row r="142" ht="20.25" customHeight="1" spans="9:9">
      <c r="I142" s="29" t="str">
        <f>IFERROR(IF(H142="ND","ND",XiuYue((((H142-基础页!$B$22)*基础页!$B$15/C142)),3,-1,9999)),"")</f>
        <v/>
      </c>
    </row>
    <row r="143" ht="20.25" customHeight="1" spans="9:9">
      <c r="I143" s="29" t="str">
        <f>IFERROR(IF(H143="ND","ND",XiuYue((((H143-基础页!$B$22)*基础页!$B$15/C143)),3,-1,9999)),"")</f>
        <v/>
      </c>
    </row>
    <row r="144" ht="20.25" customHeight="1" spans="9:9">
      <c r="I144" s="29" t="str">
        <f>IFERROR(IF(H144="ND","ND",XiuYue((((H144-基础页!$B$22)*基础页!$B$15/C144)),3,-1,9999)),"")</f>
        <v/>
      </c>
    </row>
    <row r="145" ht="20.25" customHeight="1" spans="9:9">
      <c r="I145" s="29" t="str">
        <f>IFERROR(IF(H145="ND","ND",XiuYue((((H145-基础页!$B$22)*基础页!$B$15/C145)),3,-1,9999)),"")</f>
        <v/>
      </c>
    </row>
    <row r="146" ht="20.25" customHeight="1" spans="9:9">
      <c r="I146" s="29" t="str">
        <f>IFERROR(IF(H146="ND","ND",XiuYue((((H146-基础页!$B$22)*基础页!$B$15/C146)),3,-1,9999)),"")</f>
        <v/>
      </c>
    </row>
    <row r="147" ht="20.25" customHeight="1" spans="9:9">
      <c r="I147" s="29" t="str">
        <f>IFERROR(IF(H147="ND","ND",XiuYue((((H147-基础页!$B$22)*基础页!$B$15/C147)),3,-1,9999)),"")</f>
        <v/>
      </c>
    </row>
    <row r="148" ht="20.25" customHeight="1" spans="9:9">
      <c r="I148" s="29" t="str">
        <f>IFERROR(IF(H148="ND","ND",XiuYue((((H148-基础页!$B$22)*基础页!$B$15/C148)),3,-1,9999)),"")</f>
        <v/>
      </c>
    </row>
    <row r="149" ht="20.25" customHeight="1" spans="9:9">
      <c r="I149" s="29" t="str">
        <f>IFERROR(IF(H149="ND","ND",XiuYue((((H149-基础页!$B$22)*基础页!$B$15/C149)),3,-1,9999)),"")</f>
        <v/>
      </c>
    </row>
    <row r="150" ht="20.25" customHeight="1" spans="9:9">
      <c r="I150" s="29" t="str">
        <f>IFERROR(IF(H150="ND","ND",XiuYue((((H150-基础页!$B$22)*基础页!$B$15/C150)),3,-1,9999)),"")</f>
        <v/>
      </c>
    </row>
    <row r="151" ht="20.25" customHeight="1" spans="9:9">
      <c r="I151" s="29" t="str">
        <f>IFERROR(IF(H151="ND","ND",XiuYue((((H151-基础页!$B$22)*基础页!$B$15/C151)),3,-1,9999)),"")</f>
        <v/>
      </c>
    </row>
    <row r="152" ht="20.25" customHeight="1" spans="9:9">
      <c r="I152" s="29" t="str">
        <f>IFERROR(IF(H152="ND","ND",XiuYue((((H152-基础页!$B$22)*基础页!$B$15/C152)),3,-1,9999)),"")</f>
        <v/>
      </c>
    </row>
    <row r="153" ht="20.25" customHeight="1" spans="9:9">
      <c r="I153" s="29" t="str">
        <f>IFERROR(IF(H153="ND","ND",XiuYue((((H153-基础页!$B$22)*基础页!$B$15/C153)),3,-1,9999)),"")</f>
        <v/>
      </c>
    </row>
    <row r="154" ht="20.25" customHeight="1" spans="9:9">
      <c r="I154" s="29" t="str">
        <f>IFERROR(IF(H154="ND","ND",XiuYue((((H154-基础页!$B$22)*基础页!$B$15/C154)),3,-1,9999)),"")</f>
        <v/>
      </c>
    </row>
    <row r="155" ht="20.25" customHeight="1" spans="9:9">
      <c r="I155" s="29" t="str">
        <f>IFERROR(IF(H155="ND","ND",XiuYue((((H155-基础页!$B$22)*基础页!$B$15/C155)),3,-1,9999)),"")</f>
        <v/>
      </c>
    </row>
    <row r="156" ht="20.25" customHeight="1" spans="9:9">
      <c r="I156" s="29" t="str">
        <f>IFERROR(XiuYue((((H156-基础页!$B$22)*基础页!$B$15/C156)),3,-1,9999),"")</f>
        <v/>
      </c>
    </row>
    <row r="157" ht="20.25" customHeight="1" spans="9:9">
      <c r="I157" s="29" t="str">
        <f>IFERROR(XiuYue((((H157-基础页!$B$22)*基础页!$B$15/C157)),3,-1,9999),"")</f>
        <v/>
      </c>
    </row>
    <row r="158" ht="20.25" customHeight="1" spans="9:9">
      <c r="I158" s="29" t="str">
        <f>IFERROR(XiuYue((((H158-基础页!$B$22)*基础页!$B$15/C158)),3,-1,9999),"")</f>
        <v/>
      </c>
    </row>
    <row r="159" ht="20.25" customHeight="1" spans="9:9">
      <c r="I159" s="29" t="str">
        <f>IFERROR(XiuYue((((H159-基础页!$B$22)*基础页!$B$15/C159)),3,-1,9999),"")</f>
        <v/>
      </c>
    </row>
    <row r="160" ht="20.25" customHeight="1" spans="9:9">
      <c r="I160" s="29" t="str">
        <f>IFERROR(XiuYue((((H160-基础页!$B$22)*基础页!$B$15/C160)),3,-1,9999),"")</f>
        <v/>
      </c>
    </row>
    <row r="161" ht="20.25" customHeight="1" spans="9:9">
      <c r="I161" s="29" t="str">
        <f>IFERROR(XiuYue((((H161-基础页!$B$22)*基础页!$B$15/C161)),3,-1,9999),"")</f>
        <v/>
      </c>
    </row>
    <row r="162" ht="20.25" customHeight="1" spans="9:9">
      <c r="I162" s="29" t="str">
        <f>IFERROR(XiuYue((((H162-基础页!$B$22)*基础页!$B$15/C162)),3,-1,9999),"")</f>
        <v/>
      </c>
    </row>
    <row r="163" ht="20.25" customHeight="1" spans="9:9">
      <c r="I163" s="29" t="str">
        <f>IFERROR(XiuYue((((H163-基础页!$B$22)*基础页!$B$15/C163)),3,-1,9999),"")</f>
        <v/>
      </c>
    </row>
    <row r="164" ht="20.25" customHeight="1" spans="9:9">
      <c r="I164" s="5" t="str">
        <f>IFERROR(XiuYue(((H164-基础页!$B$22)*基础页!$B$15)/(C164*基础页!#REF!)*基础页!#REF!,3,-1,2),"")</f>
        <v/>
      </c>
    </row>
    <row r="165" ht="20.25" customHeight="1" spans="9:9">
      <c r="I165" s="5" t="str">
        <f>IFERROR(XiuYue(((H165-基础页!$B$22)*基础页!$B$15)/(C165*基础页!#REF!)*基础页!#REF!,3,-1,2),"")</f>
        <v/>
      </c>
    </row>
    <row r="166" ht="20.25" customHeight="1" spans="9:9">
      <c r="I166" s="5" t="str">
        <f>IFERROR(XiuYue(((H166-基础页!$B$22)*基础页!$B$15)/(C166*基础页!#REF!)*基础页!#REF!,3,-1,2),"")</f>
        <v/>
      </c>
    </row>
    <row r="167" ht="20.25" customHeight="1" spans="9:9">
      <c r="I167" s="5" t="str">
        <f>IFERROR(XiuYue(((H167-基础页!$B$22)*基础页!$B$15)/(C167*基础页!#REF!)*基础页!#REF!,3,-1,2),"")</f>
        <v/>
      </c>
    </row>
    <row r="168" ht="20.25" customHeight="1"/>
    <row r="169" ht="20.25" customHeight="1"/>
    <row r="170" ht="20.25" customHeight="1"/>
    <row r="171" ht="20.25" customHeight="1"/>
    <row r="172" ht="20.25" customHeight="1"/>
    <row r="173" ht="20.25" customHeight="1"/>
    <row r="174" ht="20.25" customHeight="1"/>
    <row r="175" ht="20.25" customHeight="1"/>
    <row r="176" ht="20.25" customHeight="1"/>
    <row r="177" ht="20.25" customHeight="1"/>
    <row r="178" ht="20.25" customHeight="1"/>
    <row r="179" ht="20.25" customHeight="1"/>
    <row r="180" ht="20.25" customHeight="1"/>
    <row r="181" ht="20.25" customHeight="1"/>
    <row r="182" ht="20.25" customHeight="1"/>
    <row r="183" ht="20.25" customHeight="1"/>
    <row r="184" ht="20.25" customHeight="1"/>
    <row r="185" ht="20.25" customHeight="1"/>
    <row r="186" ht="20.25" customHeight="1"/>
    <row r="187" ht="20.25" customHeight="1"/>
    <row r="188" ht="20.25" customHeight="1"/>
    <row r="189" ht="20.25" customHeight="1"/>
    <row r="190" ht="20.25" customHeight="1"/>
    <row r="191" ht="20.25" customHeight="1"/>
    <row r="192" ht="20.25" customHeight="1"/>
    <row r="193" ht="20.25" customHeight="1"/>
    <row r="194" ht="20.25" customHeight="1"/>
    <row r="195" ht="20.25" customHeight="1"/>
    <row r="196" ht="20.25" customHeight="1"/>
    <row r="197" ht="20.25" customHeight="1"/>
    <row r="198" ht="20.25" customHeight="1"/>
    <row r="199" ht="20.25" customHeight="1"/>
    <row r="200" ht="20.25" customHeight="1"/>
    <row r="201" ht="20.25" customHeight="1"/>
    <row r="202" ht="20.25" customHeight="1"/>
    <row r="203" ht="20.25" customHeight="1"/>
    <row r="204" ht="20.25" customHeight="1"/>
    <row r="205" ht="20.25" customHeight="1"/>
    <row r="206" ht="20.25" customHeight="1"/>
    <row r="207" ht="20.25" customHeight="1"/>
    <row r="208" ht="20.25" customHeight="1"/>
    <row r="209" ht="20.25" customHeight="1"/>
    <row r="210" ht="20.25" customHeight="1"/>
    <row r="211" ht="20.25" customHeight="1"/>
    <row r="212" ht="20.25" customHeight="1"/>
    <row r="213" ht="20.25" customHeight="1"/>
    <row r="214" ht="20.25" customHeight="1"/>
    <row r="215" ht="20.25" customHeight="1"/>
    <row r="216" ht="20.25" customHeight="1"/>
    <row r="217" ht="20.25" customHeight="1"/>
    <row r="218" ht="20.25" customHeight="1"/>
    <row r="219" ht="20.25" customHeight="1"/>
    <row r="220" ht="20.25" customHeight="1"/>
    <row r="221" ht="20.25" customHeight="1"/>
    <row r="222" ht="20.25" customHeight="1"/>
    <row r="223" ht="20.25" customHeight="1"/>
    <row r="224" ht="20.25" customHeight="1"/>
    <row r="225" ht="20.25" customHeight="1"/>
    <row r="226" ht="20.25" customHeight="1"/>
    <row r="227" ht="20.25" customHeight="1"/>
    <row r="228" ht="20.25" customHeight="1"/>
    <row r="229" ht="20.25" customHeight="1"/>
    <row r="230" ht="20.25" customHeight="1"/>
    <row r="231" ht="20.25" customHeight="1"/>
    <row r="232" ht="20.25" customHeight="1"/>
    <row r="233" ht="20.25" customHeight="1"/>
    <row r="234" ht="20.25" customHeight="1"/>
    <row r="235" ht="20.25" customHeight="1"/>
    <row r="236" ht="20.25" customHeight="1"/>
    <row r="237" ht="20.25" customHeight="1"/>
    <row r="238" ht="20.25" customHeight="1"/>
    <row r="239" ht="20.25" customHeight="1"/>
    <row r="240" ht="20.25" customHeight="1"/>
    <row r="241" ht="20.25" customHeight="1"/>
    <row r="242" ht="20.25" customHeight="1"/>
    <row r="243" ht="20.25" customHeight="1"/>
    <row r="244" ht="20.25" customHeight="1"/>
    <row r="245" ht="20.25" customHeight="1"/>
    <row r="246" ht="20.25" customHeight="1"/>
    <row r="247" ht="20.25" customHeight="1"/>
    <row r="248" ht="20.25" customHeight="1"/>
    <row r="249" ht="20.25" customHeight="1"/>
    <row r="250" ht="20.25" customHeight="1"/>
    <row r="251" ht="20.25" customHeight="1"/>
    <row r="252" ht="20.25" customHeight="1"/>
    <row r="253" ht="20.25" customHeight="1"/>
    <row r="254" ht="20.25" customHeight="1"/>
    <row r="255" ht="20.25" customHeight="1"/>
    <row r="256" ht="20.25" customHeight="1"/>
    <row r="257" ht="20.25" customHeight="1"/>
    <row r="258" ht="20.25" customHeight="1"/>
    <row r="259" ht="20.25" customHeight="1"/>
    <row r="260" ht="20.25" customHeight="1"/>
    <row r="261" ht="20.25" customHeight="1"/>
    <row r="262" ht="20.25" customHeight="1"/>
    <row r="263" ht="20.25" customHeight="1"/>
    <row r="264" ht="20.25" customHeight="1"/>
    <row r="265" ht="20.25" customHeight="1"/>
    <row r="266" ht="20.25" customHeight="1"/>
    <row r="267" ht="20.25" customHeight="1"/>
    <row r="268" ht="20.25" customHeight="1"/>
    <row r="269" ht="20.25" customHeight="1"/>
    <row r="270" ht="20.25" customHeight="1"/>
    <row r="271" ht="20.25" customHeight="1"/>
    <row r="272" ht="20.25" customHeight="1"/>
    <row r="273" ht="20.25" customHeight="1"/>
    <row r="274" ht="20.25" customHeight="1"/>
    <row r="275" ht="20.25" customHeight="1"/>
    <row r="276" ht="20.25" customHeight="1"/>
    <row r="277" ht="20.25" customHeight="1"/>
    <row r="278" ht="20.25" customHeight="1"/>
    <row r="279" ht="20.25" customHeight="1"/>
    <row r="280" ht="20.25" customHeight="1"/>
    <row r="281" ht="20.25" customHeight="1"/>
    <row r="282" ht="20.25" customHeight="1"/>
    <row r="283" ht="20.25" customHeight="1"/>
    <row r="284" ht="20.25" customHeight="1"/>
    <row r="285" ht="20.25" customHeight="1"/>
    <row r="286" ht="20.25" customHeight="1"/>
    <row r="287" ht="20.25" customHeight="1"/>
    <row r="288" ht="20.25" customHeight="1"/>
    <row r="289" ht="20.25" customHeight="1"/>
    <row r="290" ht="20.25" customHeight="1"/>
    <row r="291" ht="20.25" customHeight="1"/>
    <row r="292" ht="20.25" customHeight="1"/>
    <row r="293" ht="20.25" customHeight="1"/>
    <row r="294" ht="20.25" customHeight="1"/>
    <row r="295" ht="20.25" customHeight="1"/>
    <row r="296" ht="20.25" customHeight="1"/>
    <row r="297" ht="20.25" customHeight="1"/>
    <row r="298" ht="20.25" customHeight="1"/>
    <row r="299" ht="20.25" customHeight="1"/>
    <row r="300" ht="20.25" customHeight="1"/>
    <row r="301" ht="20.25" customHeight="1"/>
    <row r="302" ht="20.25" customHeight="1"/>
    <row r="303" ht="20.25" customHeight="1"/>
    <row r="304" ht="20.25" customHeight="1"/>
    <row r="305" ht="20.25" customHeight="1"/>
    <row r="306" ht="20.25" customHeight="1"/>
    <row r="307" ht="20.25" customHeight="1"/>
    <row r="308" ht="20.25" customHeight="1"/>
    <row r="309" ht="20.25" customHeight="1"/>
    <row r="310" ht="20.25" customHeight="1"/>
    <row r="311" ht="20.25" customHeight="1"/>
    <row r="312" ht="20.25" customHeight="1"/>
    <row r="313" ht="20.25" customHeight="1"/>
    <row r="314" ht="20.25" customHeight="1"/>
    <row r="315" ht="20.25" customHeight="1"/>
    <row r="316" ht="20.25" customHeight="1"/>
    <row r="317" ht="20.25" customHeight="1"/>
    <row r="318" ht="20.25" customHeight="1"/>
    <row r="319" ht="20.25" customHeight="1"/>
    <row r="320" ht="20.25" customHeight="1"/>
    <row r="321" ht="20.25" customHeight="1"/>
    <row r="322" ht="20.25" customHeight="1"/>
    <row r="323" ht="20.25" customHeight="1"/>
    <row r="324" ht="20.25" customHeight="1"/>
    <row r="325" ht="20.25" customHeight="1"/>
    <row r="326" ht="20.25" customHeight="1"/>
    <row r="327" ht="20.25" customHeight="1"/>
    <row r="328" ht="20.25" customHeight="1"/>
    <row r="329" ht="20.25" customHeight="1"/>
    <row r="330" ht="20.25" customHeight="1"/>
    <row r="331" ht="20.25" customHeight="1"/>
    <row r="332" ht="20.25" customHeight="1"/>
    <row r="333" ht="20.25" customHeight="1"/>
    <row r="334" ht="20.25" customHeight="1"/>
    <row r="335" ht="20.25" customHeight="1"/>
    <row r="336" ht="20.25" customHeight="1"/>
    <row r="337" ht="20.25" customHeight="1"/>
    <row r="338" ht="20.25" customHeight="1"/>
    <row r="339" ht="20.25" customHeight="1"/>
    <row r="340" ht="20.25" customHeight="1"/>
    <row r="341" ht="20.25" customHeight="1"/>
    <row r="342" ht="20.25" customHeight="1"/>
    <row r="343" ht="20.25" customHeight="1"/>
    <row r="344" ht="20.25" customHeight="1"/>
    <row r="345" ht="20.25" customHeight="1"/>
    <row r="346" ht="20.25" customHeight="1"/>
    <row r="347" ht="20.25" customHeight="1"/>
    <row r="348" ht="20.25" customHeight="1"/>
    <row r="349" ht="20.25" customHeight="1"/>
    <row r="350" ht="20.25" customHeight="1"/>
    <row r="351" ht="20.25" customHeight="1"/>
    <row r="352" ht="20.25" customHeight="1"/>
    <row r="353" ht="20.25" customHeight="1"/>
    <row r="354" ht="20.25" customHeight="1"/>
    <row r="355" ht="20.25" customHeight="1"/>
    <row r="356" ht="20.25" customHeight="1"/>
    <row r="357" ht="20.25" customHeight="1"/>
    <row r="358" ht="20.25" customHeight="1"/>
    <row r="359" ht="20.25" customHeight="1"/>
    <row r="360" ht="20.25" customHeight="1"/>
    <row r="361" ht="20.25" customHeight="1"/>
    <row r="362" ht="20.25" customHeight="1"/>
    <row r="363" ht="20.25" customHeight="1"/>
    <row r="364" ht="20.25" customHeight="1"/>
    <row r="365" ht="20.25" customHeight="1"/>
    <row r="366" ht="20.25" customHeight="1"/>
    <row r="367" ht="20.25" customHeight="1"/>
    <row r="368" ht="20.25" customHeight="1"/>
    <row r="369" ht="20.25" customHeight="1"/>
    <row r="370" ht="20.25" customHeight="1"/>
    <row r="371" ht="20.25" customHeight="1"/>
    <row r="372" ht="20.25" customHeight="1"/>
    <row r="373" ht="20.25" customHeight="1"/>
  </sheetData>
  <sheetProtection formatCells="0" formatColumns="0" formatRows="0" sort="0" autoFilter="0" pivotTables="0"/>
  <mergeCells count="18">
    <mergeCell ref="A1:O1"/>
    <mergeCell ref="E2:G2"/>
    <mergeCell ref="H2:I2"/>
    <mergeCell ref="J2:N2"/>
    <mergeCell ref="E3:F3"/>
    <mergeCell ref="A2:A4"/>
    <mergeCell ref="B2:B4"/>
    <mergeCell ref="C2:C4"/>
    <mergeCell ref="D2:D4"/>
    <mergeCell ref="G3:G4"/>
    <mergeCell ref="H3:H4"/>
    <mergeCell ref="I3:I4"/>
    <mergeCell ref="J3:J4"/>
    <mergeCell ref="K3:K4"/>
    <mergeCell ref="L3:L4"/>
    <mergeCell ref="M3:M4"/>
    <mergeCell ref="N3:N4"/>
    <mergeCell ref="O2:O4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基础页</vt:lpstr>
      <vt:lpstr>分析记录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Windows 用户</cp:lastModifiedBy>
  <dcterms:created xsi:type="dcterms:W3CDTF">2006-09-16T00:00:00Z</dcterms:created>
  <dcterms:modified xsi:type="dcterms:W3CDTF">2021-10-26T08:59:25Z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