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workbookProtection workbookAlgorithmName="SHA-512" workbookHashValue="wmfyyOHLevO13zKTRvcqiDvixv4XgXpfQxvwcjEjIjZF9NtZ9bQT37+LD6S1gsvdM3hd3im3YCsJHaJlBR3IyQ==" workbookSaltValue="u1IsIO/vIHCcv3orWGdRjQ==" workbookSpinCount="100000" lockStructure="1"/>
  <bookViews>
    <workbookView windowWidth="22943" windowHeight="10308"/>
  </bookViews>
  <sheets>
    <sheet name="基础页" sheetId="5" r:id="rId1"/>
    <sheet name="分析记录" sheetId="10" r:id="rId2"/>
  </sheets>
  <calcPr calcId="144525"/>
</workbook>
</file>

<file path=xl/sharedStrings.xml><?xml version="1.0" encoding="utf-8"?>
<sst xmlns="http://schemas.openxmlformats.org/spreadsheetml/2006/main" count="91">
  <si>
    <r>
      <rPr>
        <b/>
        <sz val="11"/>
        <color theme="0"/>
        <rFont val="宋体"/>
        <charset val="134"/>
      </rPr>
      <t>基本信息</t>
    </r>
  </si>
  <si>
    <t xml:space="preserve"> </t>
  </si>
  <si>
    <t>模板编号</t>
  </si>
  <si>
    <t>科学</t>
  </si>
  <si>
    <t>严谨</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</si>
  <si>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AS004</t>
    </r>
  </si>
  <si>
    <t xml:space="preserve"> Agilent 6890N</t>
  </si>
  <si>
    <t>任务号</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</si>
  <si>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AS471</t>
    </r>
  </si>
  <si>
    <t xml:space="preserve"> Clarus 680</t>
  </si>
  <si>
    <t>任务名称</t>
  </si>
  <si>
    <r>
      <rPr>
        <sz val="11"/>
        <color theme="0" tint="-0.0499893185216834"/>
        <rFont val="宋体"/>
        <charset val="134"/>
      </rPr>
      <t xml:space="preserve"> 气相色谱仪</t>
    </r>
    <r>
      <rPr>
        <sz val="11"/>
        <color theme="0" tint="-0.0499893185216834"/>
        <rFont val="Times New Roman"/>
        <charset val="134"/>
      </rPr>
      <t>AS530</t>
    </r>
  </si>
  <si>
    <t>NexisGC-2030</t>
  </si>
  <si>
    <t>检测日期</t>
  </si>
  <si>
    <t>安全</t>
  </si>
  <si>
    <t>高效</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</si>
  <si>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AS007</t>
    </r>
  </si>
  <si>
    <t>Agilent6890N</t>
  </si>
  <si>
    <t>样品类别</t>
  </si>
  <si>
    <r>
      <rPr>
        <sz val="11"/>
        <color theme="0" tint="-0.0499893185216834"/>
        <rFont val="宋体"/>
        <charset val="134"/>
      </rPr>
      <t>气质联用仪</t>
    </r>
    <r>
      <rPr>
        <sz val="11"/>
        <color theme="0" tint="-0.0499893185216834"/>
        <rFont val="Times New Roman"/>
        <charset val="134"/>
      </rPr>
      <t>AS340</t>
    </r>
  </si>
  <si>
    <t xml:space="preserve">   Agilent7890B/5977A</t>
  </si>
  <si>
    <t>检测地点</t>
  </si>
  <si>
    <r>
      <rPr>
        <sz val="11"/>
        <color theme="0" tint="-0.0499893185216834"/>
        <rFont val="宋体"/>
        <charset val="134"/>
      </rPr>
      <t>气质联用仪</t>
    </r>
    <r>
      <rPr>
        <sz val="11"/>
        <color theme="0" tint="-0.0499893185216834"/>
        <rFont val="Times New Roman"/>
        <charset val="134"/>
      </rPr>
      <t>AS117</t>
    </r>
  </si>
  <si>
    <t xml:space="preserve">  Agilent6890N/5975B</t>
  </si>
  <si>
    <t>检测方法</t>
  </si>
  <si>
    <t>温度(℃)</t>
  </si>
  <si>
    <t>湿度(%)</t>
  </si>
  <si>
    <t>检出限</t>
  </si>
  <si>
    <r>
      <rPr>
        <b/>
        <sz val="11"/>
        <color theme="1"/>
        <rFont val="宋体"/>
        <charset val="134"/>
      </rPr>
      <t>说明：</t>
    </r>
  </si>
  <si>
    <t>定量限</t>
  </si>
  <si>
    <r>
      <rPr>
        <sz val="11"/>
        <color rgb="FFFF0000"/>
        <rFont val="宋体"/>
        <charset val="134"/>
      </rPr>
      <t>为需填写内容</t>
    </r>
  </si>
  <si>
    <t>仪器名称及编号</t>
  </si>
  <si>
    <r>
      <rPr>
        <sz val="11"/>
        <color rgb="FFFF0000"/>
        <rFont val="宋体"/>
        <charset val="134"/>
      </rPr>
      <t>为不需要填写</t>
    </r>
  </si>
  <si>
    <t>仪器型号</t>
  </si>
  <si>
    <r>
      <rPr>
        <sz val="11"/>
        <color rgb="FFFF0000"/>
        <rFont val="宋体"/>
        <charset val="134"/>
      </rPr>
      <t>为质控模块</t>
    </r>
  </si>
  <si>
    <t>天平编号</t>
  </si>
  <si>
    <r>
      <rPr>
        <sz val="11"/>
        <color theme="1"/>
        <rFont val="宋体"/>
        <charset val="134"/>
      </rPr>
      <t>定容体积V</t>
    </r>
    <r>
      <rPr>
        <vertAlign val="subscript"/>
        <sz val="11"/>
        <color theme="1"/>
        <rFont val="宋体"/>
        <charset val="134"/>
      </rPr>
      <t>1</t>
    </r>
  </si>
  <si>
    <t>5MS(30m×0.32mm×0.25μm)</t>
  </si>
  <si>
    <t>色谱条件</t>
  </si>
  <si>
    <t>色谱柱</t>
  </si>
  <si>
    <t>柱温程序</t>
  </si>
  <si>
    <t xml:space="preserve"> DB-5MS(30m×0.25mm×0.25μm)</t>
  </si>
  <si>
    <t>进样方式</t>
  </si>
  <si>
    <t>进样口温度(℃)</t>
  </si>
  <si>
    <t>不分流进样</t>
  </si>
  <si>
    <t>流速(mL/min)</t>
  </si>
  <si>
    <r>
      <rPr>
        <sz val="11"/>
        <color theme="1"/>
        <rFont val="宋体"/>
        <charset val="134"/>
      </rPr>
      <t>进样体积(</t>
    </r>
    <r>
      <rPr>
        <sz val="11"/>
        <color theme="1"/>
        <rFont val="Calibri"/>
        <charset val="134"/>
      </rPr>
      <t>μ</t>
    </r>
    <r>
      <rPr>
        <sz val="11"/>
        <color theme="1"/>
        <rFont val="宋体"/>
        <charset val="134"/>
      </rPr>
      <t>L)</t>
    </r>
  </si>
  <si>
    <r>
      <rPr>
        <sz val="11"/>
        <color theme="0" tint="-0.0499893185216834"/>
        <rFont val="宋体"/>
        <charset val="134"/>
      </rPr>
      <t>分流进样（分流比</t>
    </r>
    <r>
      <rPr>
        <sz val="11"/>
        <color theme="0" tint="-0.0499893185216834"/>
        <rFont val="Times New Roman"/>
        <charset val="134"/>
      </rPr>
      <t xml:space="preserve">  :  </t>
    </r>
    <r>
      <rPr>
        <sz val="11"/>
        <color theme="0" tint="-0.0499893185216834"/>
        <rFont val="宋体"/>
        <charset val="134"/>
      </rPr>
      <t>）</t>
    </r>
  </si>
  <si>
    <t>质谱条件</t>
  </si>
  <si>
    <t>四级杆温度(℃)</t>
  </si>
  <si>
    <t>离子源温度(℃)</t>
  </si>
  <si>
    <t>SIM(m/z)</t>
  </si>
  <si>
    <t>质谱接口温度(℃)</t>
  </si>
  <si>
    <t>EM电压</t>
  </si>
  <si>
    <t>SCAN(m/z)</t>
  </si>
  <si>
    <t xml:space="preserve"> SIM(m/z)
 SCAN(m/z)</t>
  </si>
  <si>
    <t>标准溶液</t>
  </si>
  <si>
    <t>标准工作溶液浓度(  )</t>
  </si>
  <si>
    <t>标准工作液编号</t>
  </si>
  <si>
    <t>内标及加入量</t>
  </si>
  <si>
    <t>标准工作液有效期</t>
  </si>
  <si>
    <r>
      <rPr>
        <sz val="11"/>
        <color theme="1"/>
        <rFont val="宋体"/>
        <charset val="134"/>
      </rPr>
      <t>试剂空白C</t>
    </r>
    <r>
      <rPr>
        <vertAlign val="subscript"/>
        <sz val="11"/>
        <color theme="1"/>
        <rFont val="宋体"/>
        <charset val="134"/>
      </rPr>
      <t>0</t>
    </r>
  </si>
  <si>
    <t>计算公式</t>
  </si>
  <si>
    <r>
      <rPr>
        <sz val="11"/>
        <color theme="1"/>
        <rFont val="宋体"/>
        <charset val="134"/>
      </rPr>
      <t>X=(C</t>
    </r>
    <r>
      <rPr>
        <vertAlign val="subscript"/>
        <sz val="11"/>
        <color theme="1"/>
        <rFont val="宋体"/>
        <charset val="134"/>
      </rPr>
      <t>S</t>
    </r>
    <r>
      <rPr>
        <sz val="11"/>
        <color theme="1"/>
        <rFont val="宋体"/>
        <charset val="134"/>
      </rPr>
      <t>-C</t>
    </r>
    <r>
      <rPr>
        <vertAlign val="subscript"/>
        <sz val="11"/>
        <color theme="1"/>
        <rFont val="宋体"/>
        <charset val="134"/>
      </rPr>
      <t>O</t>
    </r>
    <r>
      <rPr>
        <sz val="11"/>
        <color theme="1"/>
        <rFont val="宋体"/>
        <charset val="134"/>
      </rPr>
      <t>)×V</t>
    </r>
    <r>
      <rPr>
        <vertAlign val="subscript"/>
        <sz val="11"/>
        <color theme="1"/>
        <rFont val="宋体"/>
        <charset val="134"/>
      </rPr>
      <t>1</t>
    </r>
    <r>
      <rPr>
        <sz val="11"/>
        <color theme="1"/>
        <rFont val="宋体"/>
        <charset val="134"/>
      </rPr>
      <t>÷m</t>
    </r>
  </si>
  <si>
    <t>定性要求</t>
  </si>
  <si>
    <t>在同样测试条件下，样品中各组分主要定性离子的相对丰度与浓度接近的标准工作溶液中对应的定性离子的相对丰度进行比较，偏差不超过以下规定的范围，则可判定为样品中存在对应的待测物：⑴相对离子丰度＞50%，允许相对偏差±10 %；⑵相对离子丰度20～50（含）%，允许相对偏差±15%；⑶相对离子丰度10～20（含）%，允许相对偏差±20%；⑷相对离子丰度≤10%,允许相对偏差±50%。</t>
  </si>
  <si>
    <t>签名</t>
  </si>
  <si>
    <t>检测人</t>
  </si>
  <si>
    <t>校核人</t>
  </si>
  <si>
    <t>审核人</t>
  </si>
  <si>
    <t>检测信息</t>
  </si>
  <si>
    <t>序号</t>
  </si>
  <si>
    <t>样品编号</t>
  </si>
  <si>
    <t>取样量（）</t>
  </si>
  <si>
    <t>检测项目</t>
  </si>
  <si>
    <t>定性判定</t>
  </si>
  <si>
    <t>定量结果</t>
  </si>
  <si>
    <t>质控</t>
  </si>
  <si>
    <t>备注</t>
  </si>
  <si>
    <t>相对离子丰度（%）</t>
  </si>
  <si>
    <t>是否阳性</t>
  </si>
  <si>
    <t>样液
测定结果
Cs（    ）</t>
  </si>
  <si>
    <t>样品
残留量
X（    ）</t>
  </si>
  <si>
    <t>标样
推荐值/加标浓度</t>
  </si>
  <si>
    <r>
      <rPr>
        <sz val="11"/>
        <color theme="1"/>
        <rFont val="宋体"/>
        <charset val="134"/>
      </rPr>
      <t>加标体积</t>
    </r>
    <r>
      <rPr>
        <sz val="11"/>
        <color theme="1"/>
        <rFont val="Times New Roman"/>
        <charset val="134"/>
      </rPr>
      <t xml:space="preserve">
(μL)</t>
    </r>
  </si>
  <si>
    <t>允许值</t>
  </si>
  <si>
    <r>
      <rPr>
        <sz val="11"/>
        <rFont val="宋体"/>
        <charset val="134"/>
      </rPr>
      <t>相对偏差</t>
    </r>
    <r>
      <rPr>
        <sz val="11"/>
        <rFont val="Times New Roman"/>
        <charset val="134"/>
      </rPr>
      <t xml:space="preserve">
</t>
    </r>
    <r>
      <rPr>
        <sz val="11"/>
        <rFont val="宋体"/>
        <charset val="134"/>
      </rPr>
      <t>相对误差</t>
    </r>
    <r>
      <rPr>
        <sz val="11"/>
        <rFont val="Times New Roman"/>
        <charset val="134"/>
      </rPr>
      <t xml:space="preserve">
</t>
    </r>
    <r>
      <rPr>
        <sz val="11"/>
        <rFont val="宋体"/>
        <charset val="134"/>
      </rPr>
      <t>回收率</t>
    </r>
  </si>
  <si>
    <t>结果</t>
  </si>
  <si>
    <t>样品</t>
  </si>
  <si>
    <t>标液</t>
  </si>
  <si>
    <t>偏差</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</si>
</sst>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0.0_ ;[Red]\-0.0\ "/>
    <numFmt numFmtId="177" formatCode="0.0_ "/>
    <numFmt numFmtId="178" formatCode="0.0"/>
  </numFmts>
  <fonts count="38">
    <font>
      <sz val="11"/>
      <color theme="1"/>
      <name val="宋体"/>
      <charset val="134"/>
      <scheme val="minor"/>
    </font>
    <font>
      <sz val="11"/>
      <color theme="1"/>
      <name val="Times New Roman"/>
      <charset val="134"/>
    </font>
    <font>
      <b/>
      <sz val="11"/>
      <color theme="0"/>
      <name val="宋体"/>
      <charset val="134"/>
    </font>
    <font>
      <sz val="11"/>
      <name val="宋体"/>
      <charset val="134"/>
    </font>
    <font>
      <sz val="11"/>
      <name val="Times New Roman"/>
      <charset val="134"/>
    </font>
    <font>
      <sz val="11"/>
      <color theme="1"/>
      <name val="宋体"/>
      <charset val="134"/>
    </font>
    <font>
      <b/>
      <sz val="11"/>
      <color theme="0"/>
      <name val="Times New Roman"/>
      <charset val="134"/>
    </font>
    <font>
      <sz val="36"/>
      <color theme="0"/>
      <name val="华文行楷"/>
      <charset val="134"/>
    </font>
    <font>
      <sz val="48"/>
      <color theme="0"/>
      <name val="华文行楷"/>
      <charset val="134"/>
    </font>
    <font>
      <sz val="11"/>
      <color rgb="FFFF0000"/>
      <name val="Times New Roman"/>
      <charset val="134"/>
    </font>
    <font>
      <sz val="11"/>
      <color theme="0" tint="-0.0499893185216834"/>
      <name val="Times New Roman"/>
      <charset val="134"/>
    </font>
    <font>
      <sz val="11"/>
      <color theme="0" tint="-0.0499893185216834"/>
      <name val="宋体"/>
      <charset val="134"/>
    </font>
    <font>
      <sz val="36"/>
      <color theme="1"/>
      <name val="华文行楷"/>
      <charset val="134"/>
    </font>
    <font>
      <b/>
      <sz val="11"/>
      <color theme="1"/>
      <name val="Times New Roman"/>
      <charset val="134"/>
    </font>
    <font>
      <sz val="11"/>
      <color theme="0"/>
      <name val="宋体"/>
      <charset val="0"/>
      <scheme val="minor"/>
    </font>
    <font>
      <sz val="11"/>
      <color theme="1"/>
      <name val="宋体"/>
      <charset val="0"/>
      <scheme val="minor"/>
    </font>
    <font>
      <b/>
      <sz val="11"/>
      <color rgb="FF3F3F3F"/>
      <name val="宋体"/>
      <charset val="0"/>
      <scheme val="minor"/>
    </font>
    <font>
      <b/>
      <sz val="13"/>
      <color theme="3"/>
      <name val="宋体"/>
      <charset val="134"/>
      <scheme val="minor"/>
    </font>
    <font>
      <sz val="11"/>
      <color rgb="FFFF0000"/>
      <name val="宋体"/>
      <charset val="0"/>
      <scheme val="minor"/>
    </font>
    <font>
      <sz val="11"/>
      <color rgb="FF9C0006"/>
      <name val="宋体"/>
      <charset val="0"/>
      <scheme val="minor"/>
    </font>
    <font>
      <b/>
      <sz val="11"/>
      <color rgb="FFFA7D00"/>
      <name val="宋体"/>
      <charset val="0"/>
      <scheme val="minor"/>
    </font>
    <font>
      <b/>
      <sz val="11"/>
      <color theme="1"/>
      <name val="宋体"/>
      <charset val="0"/>
      <scheme val="minor"/>
    </font>
    <font>
      <b/>
      <sz val="15"/>
      <color theme="3"/>
      <name val="宋体"/>
      <charset val="134"/>
      <scheme val="minor"/>
    </font>
    <font>
      <b/>
      <sz val="11"/>
      <color rgb="FFFFFFFF"/>
      <name val="宋体"/>
      <charset val="0"/>
      <scheme val="minor"/>
    </font>
    <font>
      <b/>
      <sz val="18"/>
      <color theme="3"/>
      <name val="宋体"/>
      <charset val="134"/>
      <scheme val="minor"/>
    </font>
    <font>
      <u/>
      <sz val="11"/>
      <color rgb="FF0000FF"/>
      <name val="宋体"/>
      <charset val="0"/>
      <scheme val="minor"/>
    </font>
    <font>
      <b/>
      <sz val="11"/>
      <color theme="3"/>
      <name val="宋体"/>
      <charset val="134"/>
      <scheme val="minor"/>
    </font>
    <font>
      <sz val="11"/>
      <color rgb="FF3F3F76"/>
      <name val="宋体"/>
      <charset val="0"/>
      <scheme val="minor"/>
    </font>
    <font>
      <sz val="11"/>
      <color rgb="FF9C6500"/>
      <name val="宋体"/>
      <charset val="0"/>
      <scheme val="minor"/>
    </font>
    <font>
      <i/>
      <sz val="11"/>
      <color rgb="FF7F7F7F"/>
      <name val="宋体"/>
      <charset val="0"/>
      <scheme val="minor"/>
    </font>
    <font>
      <u/>
      <sz val="11"/>
      <color rgb="FF800080"/>
      <name val="宋体"/>
      <charset val="0"/>
      <scheme val="minor"/>
    </font>
    <font>
      <sz val="10"/>
      <name val="Arial"/>
      <charset val="134"/>
    </font>
    <font>
      <sz val="11"/>
      <color rgb="FF006100"/>
      <name val="宋体"/>
      <charset val="0"/>
      <scheme val="minor"/>
    </font>
    <font>
      <sz val="11"/>
      <color rgb="FFFA7D00"/>
      <name val="宋体"/>
      <charset val="0"/>
      <scheme val="minor"/>
    </font>
    <font>
      <b/>
      <sz val="11"/>
      <color theme="1"/>
      <name val="宋体"/>
      <charset val="134"/>
    </font>
    <font>
      <sz val="11"/>
      <color rgb="FFFF0000"/>
      <name val="宋体"/>
      <charset val="134"/>
    </font>
    <font>
      <vertAlign val="subscript"/>
      <sz val="11"/>
      <color theme="1"/>
      <name val="宋体"/>
      <charset val="134"/>
    </font>
    <font>
      <sz val="11"/>
      <color theme="1"/>
      <name val="Calibri"/>
      <charset val="134"/>
    </font>
  </fonts>
  <fills count="41">
    <fill>
      <patternFill patternType="none"/>
    </fill>
    <fill>
      <patternFill patternType="gray125"/>
    </fill>
    <fill>
      <patternFill patternType="solid">
        <fgColor rgb="FFF5F6F9"/>
        <bgColor indexed="64"/>
      </patternFill>
    </fill>
    <fill>
      <patternFill patternType="solid">
        <fgColor theme="6" tint="0.599993896298105"/>
        <bgColor indexed="64"/>
      </patternFill>
    </fill>
    <fill>
      <patternFill patternType="solid">
        <fgColor rgb="FFFFFCF7"/>
        <bgColor indexed="64"/>
      </patternFill>
    </fill>
    <fill>
      <patternFill patternType="solid">
        <fgColor theme="9" tint="0.799920651875362"/>
        <bgColor indexed="64"/>
      </patternFill>
    </fill>
    <fill>
      <patternFill patternType="solid">
        <fgColor theme="9" tint="0.799890133365886"/>
        <bgColor indexed="64"/>
      </patternFill>
    </fill>
    <fill>
      <patternFill patternType="solid">
        <fgColor rgb="FF689CDA"/>
        <bgColor indexed="64"/>
      </patternFill>
    </fill>
    <fill>
      <patternFill patternType="solid">
        <fgColor rgb="FFF2F3F8"/>
        <bgColor indexed="64"/>
      </patternFill>
    </fill>
    <fill>
      <patternFill patternType="solid">
        <fgColor theme="3" tint="0.399914548173467"/>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theme="8" tint="0.799981688894314"/>
        <bgColor indexed="64"/>
      </patternFill>
    </fill>
    <fill>
      <patternFill patternType="solid">
        <fgColor rgb="FFFFC7CE"/>
        <bgColor indexed="64"/>
      </patternFill>
    </fill>
    <fill>
      <patternFill patternType="solid">
        <fgColor theme="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FFFFCC"/>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5"/>
        <bgColor indexed="64"/>
      </patternFill>
    </fill>
    <fill>
      <patternFill patternType="solid">
        <fgColor rgb="FFFFCC99"/>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bgColor indexed="64"/>
      </patternFill>
    </fill>
    <fill>
      <patternFill patternType="solid">
        <fgColor rgb="FFFFEB9C"/>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7"/>
        <bgColor indexed="64"/>
      </patternFill>
    </fill>
    <fill>
      <patternFill patternType="solid">
        <fgColor rgb="FFC6EFCE"/>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bottom style="medium">
        <color auto="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s>
  <cellStyleXfs count="50">
    <xf numFmtId="0" fontId="0" fillId="0" borderId="0"/>
    <xf numFmtId="42" fontId="0" fillId="0" borderId="0" applyFont="0" applyFill="0" applyBorder="0" applyAlignment="0" applyProtection="0">
      <alignment vertical="center"/>
    </xf>
    <xf numFmtId="0" fontId="15" fillId="27" borderId="0" applyNumberFormat="0" applyBorder="0" applyAlignment="0" applyProtection="0">
      <alignment vertical="center"/>
    </xf>
    <xf numFmtId="0" fontId="27" fillId="32" borderId="1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22" borderId="0" applyNumberFormat="0" applyBorder="0" applyAlignment="0" applyProtection="0">
      <alignment vertical="center"/>
    </xf>
    <xf numFmtId="0" fontId="19" fillId="18" borderId="0" applyNumberFormat="0" applyBorder="0" applyAlignment="0" applyProtection="0">
      <alignment vertical="center"/>
    </xf>
    <xf numFmtId="43" fontId="0" fillId="0" borderId="0" applyFont="0" applyFill="0" applyBorder="0" applyAlignment="0" applyProtection="0">
      <alignment vertical="center"/>
    </xf>
    <xf numFmtId="0" fontId="14" fillId="2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30" fillId="0" borderId="0" applyNumberFormat="0" applyFill="0" applyBorder="0" applyAlignment="0" applyProtection="0">
      <alignment vertical="center"/>
    </xf>
    <xf numFmtId="0" fontId="0" fillId="26" borderId="19" applyNumberFormat="0" applyFont="0" applyAlignment="0" applyProtection="0">
      <alignment vertical="center"/>
    </xf>
    <xf numFmtId="0" fontId="14" fillId="30" borderId="0" applyNumberFormat="0" applyBorder="0" applyAlignment="0" applyProtection="0">
      <alignment vertical="center"/>
    </xf>
    <xf numFmtId="0" fontId="26"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16" applyNumberFormat="0" applyFill="0" applyAlignment="0" applyProtection="0">
      <alignment vertical="center"/>
    </xf>
    <xf numFmtId="0" fontId="17" fillId="0" borderId="16" applyNumberFormat="0" applyFill="0" applyAlignment="0" applyProtection="0">
      <alignment vertical="center"/>
    </xf>
    <xf numFmtId="0" fontId="14" fillId="37" borderId="0" applyNumberFormat="0" applyBorder="0" applyAlignment="0" applyProtection="0">
      <alignment vertical="center"/>
    </xf>
    <xf numFmtId="0" fontId="26" fillId="0" borderId="22" applyNumberFormat="0" applyFill="0" applyAlignment="0" applyProtection="0">
      <alignment vertical="center"/>
    </xf>
    <xf numFmtId="0" fontId="14" fillId="29" borderId="0" applyNumberFormat="0" applyBorder="0" applyAlignment="0" applyProtection="0">
      <alignment vertical="center"/>
    </xf>
    <xf numFmtId="0" fontId="16" fillId="13" borderId="15" applyNumberFormat="0" applyAlignment="0" applyProtection="0">
      <alignment vertical="center"/>
    </xf>
    <xf numFmtId="0" fontId="20" fillId="13" borderId="17" applyNumberFormat="0" applyAlignment="0" applyProtection="0">
      <alignment vertical="center"/>
    </xf>
    <xf numFmtId="0" fontId="23" fillId="28" borderId="20" applyNumberFormat="0" applyAlignment="0" applyProtection="0">
      <alignment vertical="center"/>
    </xf>
    <xf numFmtId="0" fontId="15" fillId="12" borderId="0" applyNumberFormat="0" applyBorder="0" applyAlignment="0" applyProtection="0">
      <alignment vertical="center"/>
    </xf>
    <xf numFmtId="0" fontId="14" fillId="31" borderId="0" applyNumberFormat="0" applyBorder="0" applyAlignment="0" applyProtection="0">
      <alignment vertical="center"/>
    </xf>
    <xf numFmtId="0" fontId="33" fillId="0" borderId="21" applyNumberFormat="0" applyFill="0" applyAlignment="0" applyProtection="0">
      <alignment vertical="center"/>
    </xf>
    <xf numFmtId="0" fontId="21" fillId="0" borderId="18" applyNumberFormat="0" applyFill="0" applyAlignment="0" applyProtection="0">
      <alignment vertical="center"/>
    </xf>
    <xf numFmtId="0" fontId="32" fillId="40" borderId="0" applyNumberFormat="0" applyBorder="0" applyAlignment="0" applyProtection="0">
      <alignment vertical="center"/>
    </xf>
    <xf numFmtId="0" fontId="28" fillId="36" borderId="0" applyNumberFormat="0" applyBorder="0" applyAlignment="0" applyProtection="0">
      <alignment vertical="center"/>
    </xf>
    <xf numFmtId="0" fontId="15" fillId="17" borderId="0" applyNumberFormat="0" applyBorder="0" applyAlignment="0" applyProtection="0">
      <alignment vertical="center"/>
    </xf>
    <xf numFmtId="0" fontId="14" fillId="35" borderId="0" applyNumberFormat="0" applyBorder="0" applyAlignment="0" applyProtection="0">
      <alignment vertical="center"/>
    </xf>
    <xf numFmtId="0" fontId="15" fillId="20" borderId="0" applyNumberFormat="0" applyBorder="0" applyAlignment="0" applyProtection="0">
      <alignment vertical="center"/>
    </xf>
    <xf numFmtId="0" fontId="15" fillId="25" borderId="0" applyNumberFormat="0" applyBorder="0" applyAlignment="0" applyProtection="0">
      <alignment vertical="center"/>
    </xf>
    <xf numFmtId="0" fontId="15" fillId="11" borderId="0" applyNumberFormat="0" applyBorder="0" applyAlignment="0" applyProtection="0">
      <alignment vertical="center"/>
    </xf>
    <xf numFmtId="0" fontId="15" fillId="34" borderId="0" applyNumberFormat="0" applyBorder="0" applyAlignment="0" applyProtection="0">
      <alignment vertical="center"/>
    </xf>
    <xf numFmtId="0" fontId="14" fillId="16" borderId="0" applyNumberFormat="0" applyBorder="0" applyAlignment="0" applyProtection="0">
      <alignment vertical="center"/>
    </xf>
    <xf numFmtId="0" fontId="14" fillId="39" borderId="0" applyNumberFormat="0" applyBorder="0" applyAlignment="0" applyProtection="0">
      <alignment vertical="center"/>
    </xf>
    <xf numFmtId="0" fontId="15" fillId="15" borderId="0" applyNumberFormat="0" applyBorder="0" applyAlignment="0" applyProtection="0">
      <alignment vertical="center"/>
    </xf>
    <xf numFmtId="0" fontId="15" fillId="24" borderId="0" applyNumberFormat="0" applyBorder="0" applyAlignment="0" applyProtection="0">
      <alignment vertical="center"/>
    </xf>
    <xf numFmtId="0" fontId="14" fillId="23" borderId="0" applyNumberFormat="0" applyBorder="0" applyAlignment="0" applyProtection="0">
      <alignment vertical="center"/>
    </xf>
    <xf numFmtId="0" fontId="15" fillId="33" borderId="0" applyNumberFormat="0" applyBorder="0" applyAlignment="0" applyProtection="0">
      <alignment vertical="center"/>
    </xf>
    <xf numFmtId="0" fontId="14" fillId="14" borderId="0" applyNumberFormat="0" applyBorder="0" applyAlignment="0" applyProtection="0">
      <alignment vertical="center"/>
    </xf>
    <xf numFmtId="0" fontId="14" fillId="19" borderId="0" applyNumberFormat="0" applyBorder="0" applyAlignment="0" applyProtection="0">
      <alignment vertical="center"/>
    </xf>
    <xf numFmtId="0" fontId="15" fillId="38" borderId="0" applyNumberFormat="0" applyBorder="0" applyAlignment="0" applyProtection="0">
      <alignment vertical="center"/>
    </xf>
    <xf numFmtId="0" fontId="14" fillId="10" borderId="0" applyNumberFormat="0" applyBorder="0" applyAlignment="0" applyProtection="0">
      <alignment vertical="center"/>
    </xf>
    <xf numFmtId="0" fontId="31" fillId="0" borderId="0"/>
  </cellStyleXfs>
  <cellXfs count="121">
    <xf numFmtId="0" fontId="0" fillId="0" borderId="0" xfId="0"/>
    <xf numFmtId="49" fontId="1" fillId="2" borderId="0" xfId="0" applyNumberFormat="1" applyFont="1" applyFill="1" applyBorder="1" applyAlignment="1" applyProtection="1">
      <alignment vertical="center"/>
    </xf>
    <xf numFmtId="49" fontId="1" fillId="2" borderId="0" xfId="0" applyNumberFormat="1" applyFont="1" applyFill="1" applyBorder="1" applyProtection="1"/>
    <xf numFmtId="49" fontId="1" fillId="3"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0" fontId="1" fillId="5" borderId="1" xfId="0" applyNumberFormat="1" applyFont="1" applyFill="1" applyBorder="1" applyAlignment="1" applyProtection="1">
      <alignment horizontal="center" vertical="center"/>
      <protection locked="0"/>
    </xf>
    <xf numFmtId="0" fontId="1" fillId="6" borderId="1" xfId="0" applyNumberFormat="1" applyFont="1" applyFill="1" applyBorder="1" applyAlignment="1" applyProtection="1">
      <alignment horizontal="center" vertical="center"/>
      <protection locked="0"/>
    </xf>
    <xf numFmtId="49" fontId="2" fillId="7" borderId="0" xfId="49" applyNumberFormat="1" applyFont="1" applyFill="1" applyAlignment="1" applyProtection="1">
      <alignment horizontal="left" vertical="center"/>
      <protection locked="0"/>
    </xf>
    <xf numFmtId="49" fontId="3" fillId="8" borderId="2" xfId="0" applyNumberFormat="1" applyFont="1" applyFill="1" applyBorder="1" applyAlignment="1" applyProtection="1">
      <alignment horizontal="center" vertical="center"/>
      <protection locked="0"/>
    </xf>
    <xf numFmtId="49" fontId="3" fillId="8" borderId="3" xfId="0" applyNumberFormat="1" applyFont="1" applyFill="1" applyBorder="1" applyAlignment="1" applyProtection="1">
      <alignment horizontal="center" vertical="center" wrapText="1"/>
      <protection locked="0"/>
    </xf>
    <xf numFmtId="49" fontId="3" fillId="8" borderId="4" xfId="0" applyNumberFormat="1" applyFont="1" applyFill="1" applyBorder="1" applyAlignment="1" applyProtection="1">
      <alignment horizontal="center" vertical="center" wrapText="1"/>
      <protection locked="0"/>
    </xf>
    <xf numFmtId="49" fontId="3" fillId="8" borderId="5" xfId="0" applyNumberFormat="1" applyFont="1" applyFill="1" applyBorder="1" applyAlignment="1" applyProtection="1">
      <alignment horizontal="center" vertical="center" wrapText="1"/>
      <protection locked="0"/>
    </xf>
    <xf numFmtId="49" fontId="3" fillId="8" borderId="6" xfId="0" applyNumberFormat="1" applyFont="1" applyFill="1" applyBorder="1" applyAlignment="1" applyProtection="1">
      <alignment horizontal="center" vertical="center" wrapText="1"/>
      <protection locked="0"/>
    </xf>
    <xf numFmtId="49" fontId="3" fillId="8" borderId="7" xfId="0" applyNumberFormat="1" applyFont="1" applyFill="1" applyBorder="1" applyAlignment="1" applyProtection="1">
      <alignment horizontal="center" vertical="center" wrapText="1"/>
      <protection locked="0"/>
    </xf>
    <xf numFmtId="49" fontId="4" fillId="8" borderId="2" xfId="0" applyNumberFormat="1" applyFont="1" applyFill="1" applyBorder="1" applyAlignment="1" applyProtection="1">
      <alignment horizontal="center" vertical="center"/>
      <protection locked="0"/>
    </xf>
    <xf numFmtId="49" fontId="3" fillId="8" borderId="8" xfId="0" applyNumberFormat="1" applyFont="1" applyFill="1" applyBorder="1" applyAlignment="1" applyProtection="1">
      <alignment horizontal="center" vertical="center" wrapText="1"/>
      <protection locked="0"/>
    </xf>
    <xf numFmtId="49" fontId="3" fillId="8" borderId="2" xfId="0" applyNumberFormat="1" applyFont="1" applyFill="1" applyBorder="1" applyAlignment="1" applyProtection="1">
      <alignment horizontal="center" vertical="center" wrapText="1"/>
      <protection locked="0"/>
    </xf>
    <xf numFmtId="0" fontId="5" fillId="8" borderId="4" xfId="0" applyNumberFormat="1" applyFont="1" applyFill="1" applyBorder="1" applyAlignment="1" applyProtection="1">
      <alignment horizontal="center" vertical="center" wrapText="1"/>
      <protection locked="0"/>
    </xf>
    <xf numFmtId="49" fontId="4" fillId="8" borderId="9" xfId="0" applyNumberFormat="1" applyFont="1" applyFill="1" applyBorder="1" applyAlignment="1" applyProtection="1">
      <alignment horizontal="center" vertical="center"/>
      <protection locked="0"/>
    </xf>
    <xf numFmtId="49" fontId="3" fillId="8" borderId="10" xfId="0" applyNumberFormat="1" applyFont="1" applyFill="1" applyBorder="1" applyAlignment="1" applyProtection="1">
      <alignment horizontal="center" vertical="center" wrapText="1"/>
      <protection locked="0"/>
    </xf>
    <xf numFmtId="49" fontId="3" fillId="8" borderId="9" xfId="0" applyNumberFormat="1" applyFont="1" applyFill="1" applyBorder="1" applyAlignment="1" applyProtection="1">
      <alignment horizontal="center" vertical="center" wrapText="1"/>
      <protection locked="0"/>
    </xf>
    <xf numFmtId="49" fontId="3" fillId="8" borderId="1" xfId="0" applyNumberFormat="1" applyFont="1" applyFill="1" applyBorder="1" applyAlignment="1" applyProtection="1">
      <alignment horizontal="center" vertical="center" wrapText="1"/>
      <protection locked="0"/>
    </xf>
    <xf numFmtId="49" fontId="5" fillId="8" borderId="1" xfId="0" applyNumberFormat="1" applyFont="1" applyFill="1" applyBorder="1" applyAlignment="1" applyProtection="1">
      <alignment horizontal="center" vertical="center"/>
      <protection locked="0"/>
    </xf>
    <xf numFmtId="0" fontId="3" fillId="8" borderId="1" xfId="0" applyNumberFormat="1" applyFont="1" applyFill="1" applyBorder="1" applyAlignment="1" applyProtection="1">
      <alignment horizontal="center" vertical="center" wrapText="1"/>
      <protection locked="0"/>
    </xf>
    <xf numFmtId="0" fontId="5" fillId="8" borderId="9" xfId="0" applyNumberFormat="1" applyFont="1" applyFill="1" applyBorder="1" applyAlignment="1" applyProtection="1">
      <alignment horizontal="center" vertical="center" wrapText="1"/>
      <protection locked="0"/>
    </xf>
    <xf numFmtId="49" fontId="5" fillId="4" borderId="1" xfId="0" applyNumberFormat="1" applyFont="1" applyFill="1" applyBorder="1" applyAlignment="1" applyProtection="1">
      <alignment horizontal="center" vertical="center"/>
      <protection locked="0"/>
    </xf>
    <xf numFmtId="0" fontId="1" fillId="4" borderId="1" xfId="0" applyNumberFormat="1" applyFont="1" applyFill="1" applyBorder="1" applyAlignment="1" applyProtection="1">
      <alignment horizontal="center" vertical="center"/>
      <protection locked="0"/>
    </xf>
    <xf numFmtId="49" fontId="6" fillId="7" borderId="6" xfId="49" applyNumberFormat="1" applyFont="1" applyFill="1" applyBorder="1" applyAlignment="1" applyProtection="1">
      <alignment horizontal="left" vertical="center"/>
      <protection locked="0"/>
    </xf>
    <xf numFmtId="49" fontId="6" fillId="7" borderId="7" xfId="49" applyNumberFormat="1" applyFont="1" applyFill="1" applyBorder="1" applyAlignment="1" applyProtection="1">
      <alignment horizontal="left" vertical="center"/>
      <protection locked="0"/>
    </xf>
    <xf numFmtId="0" fontId="3" fillId="8" borderId="5" xfId="0" applyNumberFormat="1" applyFont="1" applyFill="1" applyBorder="1" applyAlignment="1" applyProtection="1">
      <alignment horizontal="center" vertical="center" wrapText="1"/>
      <protection locked="0"/>
    </xf>
    <xf numFmtId="0" fontId="3" fillId="8" borderId="7" xfId="0" applyNumberFormat="1" applyFont="1" applyFill="1" applyBorder="1" applyAlignment="1" applyProtection="1">
      <alignment horizontal="center" vertical="center" wrapText="1"/>
      <protection locked="0"/>
    </xf>
    <xf numFmtId="0" fontId="3" fillId="6" borderId="1" xfId="0" applyNumberFormat="1" applyFont="1" applyFill="1" applyBorder="1" applyAlignment="1" applyProtection="1">
      <alignment horizontal="center" vertical="center" wrapText="1"/>
      <protection locked="0"/>
    </xf>
    <xf numFmtId="0" fontId="3" fillId="8" borderId="4" xfId="0" applyNumberFormat="1" applyFont="1" applyFill="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3" fillId="6" borderId="1" xfId="0" applyNumberFormat="1" applyFont="1" applyFill="1" applyBorder="1" applyAlignment="1" applyProtection="1">
      <alignment horizontal="center" vertical="center"/>
      <protection locked="0"/>
    </xf>
    <xf numFmtId="0" fontId="4" fillId="8" borderId="9" xfId="0" applyNumberFormat="1" applyFont="1" applyFill="1" applyBorder="1" applyAlignment="1" applyProtection="1">
      <alignment horizontal="center" vertical="center" wrapText="1"/>
      <protection locked="0"/>
    </xf>
    <xf numFmtId="0" fontId="1" fillId="6" borderId="1" xfId="0" applyFont="1" applyFill="1" applyBorder="1" applyAlignment="1" applyProtection="1">
      <alignment horizontal="center" vertical="center" wrapText="1"/>
      <protection locked="0"/>
    </xf>
    <xf numFmtId="0" fontId="4" fillId="6" borderId="1" xfId="0" applyNumberFormat="1" applyFont="1" applyFill="1" applyBorder="1" applyAlignment="1" applyProtection="1">
      <alignment horizontal="center" vertical="center" wrapText="1"/>
      <protection locked="0"/>
    </xf>
    <xf numFmtId="0" fontId="4" fillId="6" borderId="1" xfId="0" applyNumberFormat="1" applyFont="1" applyFill="1" applyBorder="1" applyAlignment="1" applyProtection="1">
      <alignment horizontal="center" vertical="center"/>
      <protection locked="0"/>
    </xf>
    <xf numFmtId="49" fontId="1" fillId="2" borderId="0" xfId="0" applyNumberFormat="1" applyFont="1" applyFill="1" applyBorder="1" applyAlignment="1" applyProtection="1">
      <alignment horizontal="left" vertical="top"/>
    </xf>
    <xf numFmtId="49" fontId="1" fillId="2" borderId="0" xfId="0" applyNumberFormat="1" applyFont="1" applyFill="1" applyBorder="1" applyAlignment="1" applyProtection="1">
      <alignment horizontal="center"/>
    </xf>
    <xf numFmtId="49" fontId="6" fillId="7" borderId="1" xfId="0" applyNumberFormat="1" applyFont="1" applyFill="1" applyBorder="1" applyAlignment="1" applyProtection="1">
      <alignment horizontal="left" vertical="center"/>
      <protection locked="0"/>
    </xf>
    <xf numFmtId="0" fontId="6" fillId="9" borderId="0" xfId="0" applyNumberFormat="1" applyFont="1" applyFill="1" applyBorder="1" applyAlignment="1" applyProtection="1">
      <alignment horizontal="left" vertical="center"/>
      <protection locked="0"/>
    </xf>
    <xf numFmtId="49" fontId="1" fillId="9" borderId="0" xfId="0" applyNumberFormat="1" applyFont="1" applyFill="1" applyBorder="1" applyProtection="1"/>
    <xf numFmtId="49" fontId="5" fillId="2" borderId="1" xfId="0" applyNumberFormat="1" applyFont="1" applyFill="1" applyBorder="1" applyAlignment="1" applyProtection="1">
      <alignment horizontal="center" vertical="center"/>
      <protection locked="0"/>
    </xf>
    <xf numFmtId="49" fontId="1" fillId="3" borderId="5" xfId="0" applyNumberFormat="1" applyFont="1" applyFill="1" applyBorder="1" applyAlignment="1" applyProtection="1">
      <alignment horizontal="center" vertical="center" wrapText="1"/>
      <protection locked="0"/>
    </xf>
    <xf numFmtId="49" fontId="1" fillId="3" borderId="6" xfId="0" applyNumberFormat="1" applyFont="1" applyFill="1" applyBorder="1" applyAlignment="1" applyProtection="1">
      <alignment horizontal="center" vertical="center" wrapText="1"/>
      <protection locked="0"/>
    </xf>
    <xf numFmtId="49" fontId="1" fillId="3" borderId="7" xfId="0" applyNumberFormat="1" applyFont="1" applyFill="1" applyBorder="1" applyAlignment="1" applyProtection="1">
      <alignment horizontal="center" vertical="center" wrapText="1"/>
      <protection locked="0"/>
    </xf>
    <xf numFmtId="0" fontId="1" fillId="9" borderId="0" xfId="0" applyNumberFormat="1" applyFont="1" applyFill="1" applyBorder="1" applyAlignment="1" applyProtection="1">
      <alignment horizontal="center" vertical="center"/>
      <protection locked="0"/>
    </xf>
    <xf numFmtId="49" fontId="7" fillId="9" borderId="0" xfId="0" applyNumberFormat="1" applyFont="1" applyFill="1" applyBorder="1" applyAlignment="1" applyProtection="1">
      <alignment horizontal="center"/>
    </xf>
    <xf numFmtId="49" fontId="1" fillId="3" borderId="5" xfId="0" applyNumberFormat="1" applyFont="1" applyFill="1" applyBorder="1" applyAlignment="1" applyProtection="1">
      <alignment horizontal="center" vertical="center"/>
      <protection locked="0"/>
    </xf>
    <xf numFmtId="49" fontId="1" fillId="3" borderId="6" xfId="0" applyNumberFormat="1" applyFont="1" applyFill="1" applyBorder="1" applyAlignment="1" applyProtection="1">
      <alignment horizontal="center" vertical="center"/>
      <protection locked="0"/>
    </xf>
    <xf numFmtId="49" fontId="1" fillId="3" borderId="7" xfId="0" applyNumberFormat="1" applyFont="1" applyFill="1" applyBorder="1" applyAlignment="1" applyProtection="1">
      <alignment horizontal="center" vertical="center"/>
      <protection locked="0"/>
    </xf>
    <xf numFmtId="49" fontId="7" fillId="9" borderId="0" xfId="0" applyNumberFormat="1" applyFont="1" applyFill="1" applyBorder="1" applyProtection="1"/>
    <xf numFmtId="49" fontId="5" fillId="3" borderId="5" xfId="0" applyNumberFormat="1" applyFont="1" applyFill="1" applyBorder="1" applyAlignment="1" applyProtection="1">
      <alignment horizontal="center" vertical="center"/>
      <protection locked="0"/>
    </xf>
    <xf numFmtId="49" fontId="5" fillId="3" borderId="6"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176" fontId="1" fillId="9" borderId="0" xfId="0" applyNumberFormat="1" applyFont="1" applyFill="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49" fontId="8" fillId="9" borderId="0" xfId="0" applyNumberFormat="1" applyFont="1" applyFill="1" applyBorder="1" applyAlignment="1" applyProtection="1">
      <alignment horizontal="center"/>
    </xf>
    <xf numFmtId="49" fontId="5" fillId="4" borderId="1" xfId="0" applyNumberFormat="1" applyFont="1" applyFill="1" applyBorder="1" applyAlignment="1" applyProtection="1">
      <alignment horizontal="left" vertical="center"/>
      <protection locked="0"/>
    </xf>
    <xf numFmtId="49" fontId="5" fillId="4" borderId="6" xfId="0" applyNumberFormat="1" applyFont="1" applyFill="1" applyBorder="1" applyAlignment="1" applyProtection="1">
      <alignment horizontal="right" vertical="center"/>
      <protection locked="0"/>
    </xf>
    <xf numFmtId="0" fontId="1" fillId="2" borderId="0" xfId="0" applyFont="1" applyFill="1" applyBorder="1" applyAlignment="1" applyProtection="1">
      <alignment horizontal="center" vertical="center"/>
      <protection locked="0"/>
    </xf>
    <xf numFmtId="49" fontId="1" fillId="4" borderId="6" xfId="0" applyNumberFormat="1" applyFont="1" applyFill="1" applyBorder="1" applyAlignment="1" applyProtection="1">
      <alignment horizontal="center" vertical="center" wrapText="1"/>
      <protection locked="0"/>
    </xf>
    <xf numFmtId="49" fontId="1" fillId="4" borderId="7" xfId="0" applyNumberFormat="1" applyFont="1" applyFill="1" applyBorder="1" applyAlignment="1" applyProtection="1">
      <alignment horizontal="center" vertical="center" wrapText="1"/>
      <protection locked="0"/>
    </xf>
    <xf numFmtId="177" fontId="5" fillId="4" borderId="5" xfId="0" applyNumberFormat="1" applyFont="1" applyFill="1" applyBorder="1" applyAlignment="1" applyProtection="1">
      <alignment horizontal="center" vertical="center" wrapText="1"/>
      <protection locked="0"/>
    </xf>
    <xf numFmtId="177" fontId="1" fillId="4" borderId="6" xfId="0" applyNumberFormat="1" applyFont="1" applyFill="1" applyBorder="1" applyAlignment="1" applyProtection="1">
      <alignment horizontal="center" vertical="center"/>
      <protection locked="0"/>
    </xf>
    <xf numFmtId="177" fontId="1" fillId="4" borderId="7" xfId="0" applyNumberFormat="1" applyFont="1" applyFill="1" applyBorder="1" applyAlignment="1" applyProtection="1">
      <alignment horizontal="center" vertical="center"/>
      <protection locked="0"/>
    </xf>
    <xf numFmtId="177" fontId="1" fillId="4" borderId="5" xfId="0" applyNumberFormat="1" applyFont="1" applyFill="1" applyBorder="1" applyAlignment="1" applyProtection="1">
      <alignment horizontal="center" vertical="center"/>
      <protection locked="0"/>
    </xf>
    <xf numFmtId="0" fontId="9" fillId="2" borderId="0" xfId="0" applyFont="1" applyFill="1" applyBorder="1" applyAlignment="1" applyProtection="1">
      <alignment horizontal="center" vertical="center"/>
      <protection locked="0"/>
    </xf>
    <xf numFmtId="177" fontId="5" fillId="4" borderId="6" xfId="0" applyNumberFormat="1" applyFont="1" applyFill="1" applyBorder="1" applyAlignment="1" applyProtection="1">
      <alignment horizontal="center" vertical="center" wrapText="1"/>
      <protection locked="0"/>
    </xf>
    <xf numFmtId="177" fontId="5" fillId="4" borderId="7" xfId="0" applyNumberFormat="1" applyFont="1" applyFill="1" applyBorder="1" applyAlignment="1" applyProtection="1">
      <alignment horizontal="center" vertical="center" wrapText="1"/>
      <protection locked="0"/>
    </xf>
    <xf numFmtId="0" fontId="10" fillId="2" borderId="0" xfId="0"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center" vertical="center" wrapText="1"/>
      <protection locked="0"/>
    </xf>
    <xf numFmtId="2" fontId="1" fillId="4" borderId="5" xfId="0" applyNumberFormat="1" applyFont="1" applyFill="1" applyBorder="1" applyAlignment="1" applyProtection="1">
      <alignment horizontal="center" vertical="center"/>
      <protection locked="0"/>
    </xf>
    <xf numFmtId="2" fontId="1" fillId="4" borderId="6" xfId="0" applyNumberFormat="1" applyFont="1" applyFill="1" applyBorder="1" applyAlignment="1" applyProtection="1">
      <alignment horizontal="center" vertical="center"/>
      <protection locked="0"/>
    </xf>
    <xf numFmtId="2" fontId="1" fillId="4" borderId="7" xfId="0" applyNumberFormat="1" applyFont="1" applyFill="1" applyBorder="1" applyAlignment="1" applyProtection="1">
      <alignment horizontal="center" vertical="center"/>
      <protection locked="0"/>
    </xf>
    <xf numFmtId="49" fontId="5" fillId="8" borderId="4" xfId="0" applyNumberFormat="1" applyFont="1" applyFill="1" applyBorder="1" applyAlignment="1">
      <alignment horizontal="center" vertical="center"/>
    </xf>
    <xf numFmtId="0" fontId="1" fillId="4" borderId="1" xfId="0" applyNumberFormat="1" applyFont="1" applyFill="1" applyBorder="1" applyAlignment="1" applyProtection="1">
      <alignment horizontal="center" vertical="center" wrapText="1"/>
      <protection locked="0"/>
    </xf>
    <xf numFmtId="0" fontId="10" fillId="2" borderId="0" xfId="0" applyFont="1" applyFill="1" applyBorder="1" applyAlignment="1" applyProtection="1">
      <alignment horizontal="left" vertical="top"/>
      <protection locked="0"/>
    </xf>
    <xf numFmtId="0" fontId="1" fillId="2" borderId="0" xfId="0" applyFont="1" applyFill="1" applyBorder="1" applyAlignment="1" applyProtection="1">
      <alignment horizontal="left" vertical="top"/>
      <protection locked="0"/>
    </xf>
    <xf numFmtId="49" fontId="5" fillId="8" borderId="2" xfId="0" applyNumberFormat="1" applyFont="1" applyFill="1" applyBorder="1" applyAlignment="1">
      <alignment horizontal="center" vertical="center"/>
    </xf>
    <xf numFmtId="49" fontId="11" fillId="2" borderId="0" xfId="0" applyNumberFormat="1" applyFont="1" applyFill="1" applyBorder="1" applyProtection="1"/>
    <xf numFmtId="49" fontId="5" fillId="8" borderId="9" xfId="0" applyNumberFormat="1" applyFont="1" applyFill="1" applyBorder="1" applyAlignment="1">
      <alignment horizontal="center" vertical="center"/>
    </xf>
    <xf numFmtId="178" fontId="1" fillId="4" borderId="1" xfId="0" applyNumberFormat="1" applyFont="1" applyFill="1" applyBorder="1" applyAlignment="1" applyProtection="1">
      <alignment horizontal="center" vertical="center"/>
      <protection locked="0"/>
    </xf>
    <xf numFmtId="49" fontId="10" fillId="2" borderId="0" xfId="0" applyNumberFormat="1" applyFont="1" applyFill="1" applyBorder="1" applyProtection="1"/>
    <xf numFmtId="0" fontId="1" fillId="4" borderId="5" xfId="0" applyNumberFormat="1" applyFont="1" applyFill="1" applyBorder="1" applyAlignment="1" applyProtection="1">
      <alignment horizontal="center" vertical="center"/>
      <protection locked="0"/>
    </xf>
    <xf numFmtId="0" fontId="1" fillId="4" borderId="6" xfId="0" applyNumberFormat="1" applyFont="1" applyFill="1" applyBorder="1" applyAlignment="1" applyProtection="1">
      <alignment horizontal="center" vertical="center"/>
      <protection locked="0"/>
    </xf>
    <xf numFmtId="0" fontId="1" fillId="4" borderId="7" xfId="0" applyNumberFormat="1" applyFont="1" applyFill="1" applyBorder="1" applyAlignment="1" applyProtection="1">
      <alignment horizontal="center" vertical="center"/>
      <protection locked="0"/>
    </xf>
    <xf numFmtId="49" fontId="9" fillId="2" borderId="0" xfId="0" applyNumberFormat="1" applyFont="1" applyFill="1" applyBorder="1" applyProtection="1"/>
    <xf numFmtId="49" fontId="5" fillId="8" borderId="4" xfId="0" applyNumberFormat="1" applyFont="1" applyFill="1" applyBorder="1" applyAlignment="1">
      <alignment horizontal="center" vertical="center" wrapText="1"/>
    </xf>
    <xf numFmtId="49" fontId="5" fillId="4" borderId="1" xfId="0" applyNumberFormat="1" applyFont="1" applyFill="1" applyBorder="1" applyAlignment="1">
      <alignment horizontal="center" vertical="center" wrapText="1"/>
    </xf>
    <xf numFmtId="49" fontId="5" fillId="4" borderId="1" xfId="0" applyNumberFormat="1" applyFont="1" applyFill="1" applyBorder="1" applyAlignment="1">
      <alignment vertical="center"/>
    </xf>
    <xf numFmtId="49" fontId="5" fillId="8" borderId="9" xfId="0" applyNumberFormat="1" applyFont="1" applyFill="1" applyBorder="1" applyAlignment="1">
      <alignment horizontal="center" vertical="center" wrapText="1"/>
    </xf>
    <xf numFmtId="49" fontId="5" fillId="4" borderId="1" xfId="0" applyNumberFormat="1" applyFont="1" applyFill="1" applyBorder="1" applyAlignment="1">
      <alignment horizontal="center" vertical="center"/>
    </xf>
    <xf numFmtId="49" fontId="5" fillId="8" borderId="3" xfId="0" applyNumberFormat="1" applyFont="1" applyFill="1" applyBorder="1" applyAlignment="1">
      <alignment horizontal="center" vertical="center"/>
    </xf>
    <xf numFmtId="0" fontId="5" fillId="4" borderId="5" xfId="0" applyNumberFormat="1" applyFont="1" applyFill="1" applyBorder="1" applyAlignment="1">
      <alignment horizontal="center" vertical="center" wrapText="1"/>
    </xf>
    <xf numFmtId="0" fontId="5" fillId="4" borderId="6" xfId="0" applyNumberFormat="1" applyFont="1" applyFill="1" applyBorder="1" applyAlignment="1">
      <alignment horizontal="center" vertical="center" wrapText="1"/>
    </xf>
    <xf numFmtId="0" fontId="5" fillId="4" borderId="11" xfId="0" applyNumberFormat="1" applyFont="1" applyFill="1" applyBorder="1" applyAlignment="1">
      <alignment horizontal="right" vertical="center" wrapText="1"/>
    </xf>
    <xf numFmtId="49" fontId="5" fillId="8" borderId="1" xfId="0" applyNumberFormat="1" applyFont="1" applyFill="1" applyBorder="1" applyAlignment="1">
      <alignment horizontal="center" vertical="center"/>
    </xf>
    <xf numFmtId="49" fontId="5" fillId="4" borderId="5" xfId="0" applyNumberFormat="1" applyFont="1" applyFill="1" applyBorder="1" applyAlignment="1">
      <alignment horizontal="center" vertical="center" wrapText="1"/>
    </xf>
    <xf numFmtId="49" fontId="5" fillId="4" borderId="6" xfId="0" applyNumberFormat="1" applyFont="1" applyFill="1" applyBorder="1" applyAlignment="1">
      <alignment horizontal="center" vertical="center" wrapText="1"/>
    </xf>
    <xf numFmtId="49" fontId="5" fillId="4" borderId="7" xfId="0" applyNumberFormat="1" applyFont="1" applyFill="1" applyBorder="1" applyAlignment="1">
      <alignment horizontal="center" vertical="center" wrapText="1"/>
    </xf>
    <xf numFmtId="49" fontId="5" fillId="4" borderId="1" xfId="0" applyNumberFormat="1" applyFont="1" applyFill="1" applyBorder="1" applyAlignment="1">
      <alignment horizontal="left" vertical="top" wrapText="1"/>
    </xf>
    <xf numFmtId="49" fontId="2" fillId="7" borderId="5" xfId="0" applyNumberFormat="1" applyFont="1" applyFill="1" applyBorder="1" applyAlignment="1" applyProtection="1">
      <alignment horizontal="left" vertical="center"/>
      <protection locked="0"/>
    </xf>
    <xf numFmtId="49" fontId="2" fillId="7" borderId="12" xfId="0" applyNumberFormat="1" applyFont="1" applyFill="1" applyBorder="1" applyAlignment="1" applyProtection="1">
      <alignment horizontal="left" vertical="center"/>
      <protection locked="0"/>
    </xf>
    <xf numFmtId="49" fontId="2" fillId="7" borderId="13" xfId="0" applyNumberFormat="1" applyFont="1" applyFill="1" applyBorder="1" applyAlignment="1" applyProtection="1">
      <alignment horizontal="left" vertical="center"/>
      <protection locked="0"/>
    </xf>
    <xf numFmtId="0" fontId="1" fillId="9" borderId="0" xfId="0" applyFont="1" applyFill="1" applyBorder="1" applyAlignment="1" applyProtection="1">
      <alignment horizontal="center" vertical="center"/>
      <protection locked="0"/>
    </xf>
    <xf numFmtId="49" fontId="12" fillId="9" borderId="0" xfId="0" applyNumberFormat="1" applyFont="1" applyFill="1" applyBorder="1" applyProtection="1"/>
    <xf numFmtId="49" fontId="8" fillId="9" borderId="0" xfId="0" applyNumberFormat="1" applyFont="1" applyFill="1" applyBorder="1" applyProtection="1"/>
    <xf numFmtId="49" fontId="13" fillId="2" borderId="14" xfId="0" applyNumberFormat="1" applyFont="1" applyFill="1" applyBorder="1" applyAlignment="1" applyProtection="1"/>
    <xf numFmtId="49" fontId="1" fillId="2" borderId="14" xfId="0" applyNumberFormat="1" applyFont="1" applyFill="1" applyBorder="1" applyProtection="1"/>
    <xf numFmtId="49" fontId="1" fillId="4" borderId="0" xfId="0" applyNumberFormat="1" applyFont="1" applyFill="1" applyBorder="1" applyProtection="1"/>
    <xf numFmtId="49" fontId="9" fillId="2" borderId="0" xfId="0" applyNumberFormat="1" applyFont="1" applyFill="1" applyBorder="1" applyAlignment="1" applyProtection="1">
      <alignment vertical="center"/>
    </xf>
    <xf numFmtId="49" fontId="1" fillId="3" borderId="0" xfId="0" applyNumberFormat="1" applyFont="1" applyFill="1" applyBorder="1" applyProtection="1"/>
    <xf numFmtId="49" fontId="1" fillId="5" borderId="0" xfId="0" applyNumberFormat="1" applyFont="1" applyFill="1" applyBorder="1" applyProtection="1"/>
    <xf numFmtId="49" fontId="10" fillId="2" borderId="0" xfId="0" applyNumberFormat="1" applyFont="1" applyFill="1" applyAlignment="1">
      <alignment vertical="center"/>
    </xf>
    <xf numFmtId="49" fontId="10" fillId="2" borderId="0" xfId="0" applyNumberFormat="1" applyFont="1" applyFill="1" applyBorder="1" applyAlignment="1" applyProtection="1">
      <alignment vertical="center"/>
    </xf>
    <xf numFmtId="49" fontId="9" fillId="2" borderId="0" xfId="0" applyNumberFormat="1" applyFont="1" applyFill="1" applyAlignment="1">
      <alignment vertical="center"/>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s>
  <tableStyles count="0" defaultTableStyle="TableStyleMedium2" defaultPivotStyle="PivotStyleMedium9"/>
  <colors>
    <mruColors>
      <color rgb="00F2F3F8"/>
      <color rgb="00689CDA"/>
      <color rgb="00F5F6F9"/>
      <color rgb="00FFFFCC"/>
      <color rgb="00FFFF66"/>
      <color rgb="00EDF676"/>
      <color rgb="00E6E686"/>
      <color rgb="008385E9"/>
      <color rgb="00FFFCF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17</xdr:col>
      <xdr:colOff>209550</xdr:colOff>
      <xdr:row>15</xdr:row>
      <xdr:rowOff>0</xdr:rowOff>
    </xdr:from>
    <xdr:ext cx="240030" cy="171450"/>
    <xdr:sp>
      <xdr:nvSpPr>
        <xdr:cNvPr id="2" name="TextBox 1"/>
        <xdr:cNvSpPr txBox="1"/>
      </xdr:nvSpPr>
      <xdr:spPr>
        <a:xfrm>
          <a:off x="13567410" y="4386580"/>
          <a:ext cx="24003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1100"/>
        </a:p>
      </xdr:txBody>
    </xdr:sp>
    <xdr:clientData/>
  </xdr:oneCellAnchor>
  <xdr:oneCellAnchor>
    <xdr:from>
      <xdr:col>19</xdr:col>
      <xdr:colOff>445770</xdr:colOff>
      <xdr:row>14</xdr:row>
      <xdr:rowOff>45720</xdr:rowOff>
    </xdr:from>
    <xdr:ext cx="1146810" cy="392430"/>
    <xdr:sp>
      <xdr:nvSpPr>
        <xdr:cNvPr id="3" name="TextBox 2"/>
        <xdr:cNvSpPr txBox="1"/>
      </xdr:nvSpPr>
      <xdr:spPr>
        <a:xfrm>
          <a:off x="15038070" y="4110355"/>
          <a:ext cx="1146810" cy="39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800"/>
        </a:p>
      </xdr:txBody>
    </xdr:sp>
    <xdr:clientData/>
  </xdr:oneCellAnchor>
  <xdr:oneCellAnchor>
    <xdr:from>
      <xdr:col>2</xdr:col>
      <xdr:colOff>381000</xdr:colOff>
      <xdr:row>24</xdr:row>
      <xdr:rowOff>35859</xdr:rowOff>
    </xdr:from>
    <xdr:ext cx="65" cy="172227"/>
    <xdr:sp>
      <xdr:nvSpPr>
        <xdr:cNvPr id="4" name="文本框 3"/>
        <xdr:cNvSpPr txBox="1"/>
      </xdr:nvSpPr>
      <xdr:spPr>
        <a:xfrm>
          <a:off x="3314700" y="8630285"/>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5</xdr:col>
      <xdr:colOff>103095</xdr:colOff>
      <xdr:row>25</xdr:row>
      <xdr:rowOff>304800</xdr:rowOff>
    </xdr:from>
    <xdr:ext cx="65" cy="172227"/>
    <xdr:sp>
      <xdr:nvSpPr>
        <xdr:cNvPr id="5" name="文本框 4"/>
        <xdr:cNvSpPr txBox="1"/>
      </xdr:nvSpPr>
      <xdr:spPr>
        <a:xfrm>
          <a:off x="6892290" y="9324340"/>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3"/>
  <dimension ref="A1:AB30"/>
  <sheetViews>
    <sheetView tabSelected="1" zoomScale="85" zoomScaleNormal="85" workbookViewId="0">
      <selection activeCell="C18" sqref="C18"/>
    </sheetView>
  </sheetViews>
  <sheetFormatPr defaultColWidth="9" defaultRowHeight="20.25" customHeight="1"/>
  <cols>
    <col min="1" max="1" width="18.7777777777778" style="40" customWidth="1"/>
    <col min="2" max="2" width="24" style="40" customWidth="1"/>
    <col min="3" max="3" width="21.4444444444444" style="40" customWidth="1"/>
    <col min="4" max="4" width="16.4444444444444" style="40" customWidth="1"/>
    <col min="5" max="5" width="18.3333333333333" style="40" customWidth="1"/>
    <col min="6" max="6" width="35.6666666666667" style="2" customWidth="1"/>
    <col min="7" max="16" width="5.11111111111111" style="2" customWidth="1"/>
    <col min="17" max="23" width="9" style="2"/>
    <col min="24" max="24" width="24.1111111111111" style="2" customWidth="1"/>
    <col min="25" max="25" width="25.3333333333333" style="2" customWidth="1"/>
    <col min="26" max="16384" width="9" style="2"/>
  </cols>
  <sheetData>
    <row r="1" customHeight="1" spans="1:28">
      <c r="A1" s="41" t="s">
        <v>0</v>
      </c>
      <c r="B1" s="41"/>
      <c r="C1" s="41"/>
      <c r="D1" s="41"/>
      <c r="E1" s="41"/>
      <c r="F1" s="42" t="s">
        <v>1</v>
      </c>
      <c r="G1" s="43"/>
      <c r="H1" s="43"/>
      <c r="I1" s="43"/>
      <c r="J1" s="43"/>
      <c r="K1" s="43"/>
      <c r="L1" s="43"/>
      <c r="M1" s="43"/>
      <c r="N1" s="43"/>
      <c r="O1" s="43"/>
      <c r="P1" s="109"/>
      <c r="R1" s="91"/>
      <c r="S1" s="91"/>
      <c r="T1" s="91"/>
      <c r="U1" s="91"/>
      <c r="V1" s="87"/>
      <c r="W1" s="118"/>
      <c r="X1" s="118"/>
      <c r="Y1" s="118"/>
      <c r="Z1" s="120"/>
      <c r="AA1" s="120"/>
      <c r="AB1" s="91"/>
    </row>
    <row r="2" s="1" customFormat="1" ht="21" customHeight="1" spans="1:28">
      <c r="A2" s="44" t="s">
        <v>2</v>
      </c>
      <c r="B2" s="45"/>
      <c r="C2" s="46"/>
      <c r="D2" s="46"/>
      <c r="E2" s="47"/>
      <c r="F2" s="48"/>
      <c r="G2" s="43"/>
      <c r="H2" s="49" t="s">
        <v>3</v>
      </c>
      <c r="I2" s="49"/>
      <c r="J2" s="49"/>
      <c r="K2" s="53"/>
      <c r="L2" s="49" t="s">
        <v>4</v>
      </c>
      <c r="M2" s="49"/>
      <c r="N2" s="49"/>
      <c r="O2" s="43"/>
      <c r="P2" s="109"/>
      <c r="R2" s="115"/>
      <c r="S2" s="115"/>
      <c r="T2" s="115"/>
      <c r="U2" s="115"/>
      <c r="V2" s="119"/>
      <c r="W2" s="118"/>
      <c r="X2" s="118" t="s">
        <v>5</v>
      </c>
      <c r="Y2" s="118" t="s">
        <v>6</v>
      </c>
      <c r="AA2" s="120"/>
      <c r="AB2" s="115"/>
    </row>
    <row r="3" s="1" customFormat="1" ht="21" customHeight="1" spans="1:28">
      <c r="A3" s="44" t="s">
        <v>7</v>
      </c>
      <c r="B3" s="50"/>
      <c r="C3" s="51"/>
      <c r="D3" s="51"/>
      <c r="E3" s="52"/>
      <c r="F3" s="48"/>
      <c r="G3" s="43"/>
      <c r="H3" s="49"/>
      <c r="I3" s="49"/>
      <c r="J3" s="49"/>
      <c r="K3" s="53"/>
      <c r="L3" s="49"/>
      <c r="M3" s="49"/>
      <c r="N3" s="49"/>
      <c r="O3" s="43"/>
      <c r="P3" s="109"/>
      <c r="R3" s="115"/>
      <c r="S3" s="115"/>
      <c r="T3" s="115"/>
      <c r="U3" s="115"/>
      <c r="V3" s="119"/>
      <c r="W3" s="118"/>
      <c r="X3" s="118" t="s">
        <v>8</v>
      </c>
      <c r="Y3" s="118" t="s">
        <v>9</v>
      </c>
      <c r="AA3" s="120"/>
      <c r="AB3" s="115"/>
    </row>
    <row r="4" s="1" customFormat="1" ht="21" customHeight="1" spans="1:28">
      <c r="A4" s="44" t="s">
        <v>10</v>
      </c>
      <c r="B4" s="50"/>
      <c r="C4" s="51"/>
      <c r="D4" s="51"/>
      <c r="E4" s="52"/>
      <c r="F4" s="48"/>
      <c r="G4" s="43"/>
      <c r="H4" s="53"/>
      <c r="I4" s="53"/>
      <c r="J4" s="53"/>
      <c r="K4" s="53"/>
      <c r="L4" s="53"/>
      <c r="M4" s="110"/>
      <c r="N4" s="110"/>
      <c r="O4" s="43"/>
      <c r="P4" s="109"/>
      <c r="R4" s="115"/>
      <c r="S4" s="115"/>
      <c r="T4" s="115"/>
      <c r="U4" s="115"/>
      <c r="V4" s="119"/>
      <c r="W4" s="118"/>
      <c r="X4" s="118" t="s">
        <v>11</v>
      </c>
      <c r="Y4" s="118" t="s">
        <v>12</v>
      </c>
      <c r="AA4" s="120"/>
      <c r="AB4" s="115"/>
    </row>
    <row r="5" s="1" customFormat="1" ht="21" customHeight="1" spans="1:28">
      <c r="A5" s="44" t="s">
        <v>13</v>
      </c>
      <c r="B5" s="50"/>
      <c r="C5" s="51"/>
      <c r="D5" s="51"/>
      <c r="E5" s="52"/>
      <c r="F5" s="48"/>
      <c r="G5" s="43"/>
      <c r="H5" s="49" t="s">
        <v>14</v>
      </c>
      <c r="I5" s="49"/>
      <c r="J5" s="49"/>
      <c r="K5" s="53"/>
      <c r="L5" s="49" t="s">
        <v>15</v>
      </c>
      <c r="M5" s="49"/>
      <c r="N5" s="49"/>
      <c r="O5" s="43"/>
      <c r="P5" s="109"/>
      <c r="R5" s="115"/>
      <c r="S5" s="115"/>
      <c r="T5" s="115"/>
      <c r="U5" s="115"/>
      <c r="V5" s="119"/>
      <c r="W5" s="118"/>
      <c r="X5" s="118" t="s">
        <v>16</v>
      </c>
      <c r="Y5" s="118" t="s">
        <v>17</v>
      </c>
      <c r="AA5" s="120"/>
      <c r="AB5" s="115"/>
    </row>
    <row r="6" s="1" customFormat="1" ht="21" customHeight="1" spans="1:28">
      <c r="A6" s="44" t="s">
        <v>18</v>
      </c>
      <c r="B6" s="54"/>
      <c r="C6" s="55"/>
      <c r="D6" s="55"/>
      <c r="E6" s="56"/>
      <c r="F6" s="57"/>
      <c r="G6" s="43"/>
      <c r="H6" s="49"/>
      <c r="I6" s="49"/>
      <c r="J6" s="49"/>
      <c r="K6" s="53"/>
      <c r="L6" s="49"/>
      <c r="M6" s="49"/>
      <c r="N6" s="49"/>
      <c r="O6" s="43"/>
      <c r="P6" s="109"/>
      <c r="R6" s="115"/>
      <c r="S6" s="115"/>
      <c r="T6" s="115"/>
      <c r="U6" s="115"/>
      <c r="V6" s="119"/>
      <c r="W6" s="118"/>
      <c r="X6" s="118" t="s">
        <v>19</v>
      </c>
      <c r="Y6" s="118" t="s">
        <v>20</v>
      </c>
      <c r="AA6" s="120"/>
      <c r="AB6" s="115"/>
    </row>
    <row r="7" s="1" customFormat="1" ht="21" customHeight="1" spans="1:28">
      <c r="A7" s="44" t="s">
        <v>21</v>
      </c>
      <c r="B7" s="54"/>
      <c r="C7" s="55"/>
      <c r="D7" s="55"/>
      <c r="E7" s="56"/>
      <c r="F7" s="57"/>
      <c r="G7" s="43"/>
      <c r="H7" s="49"/>
      <c r="I7" s="49"/>
      <c r="J7" s="49"/>
      <c r="K7" s="53"/>
      <c r="L7" s="49"/>
      <c r="M7" s="49"/>
      <c r="N7" s="49"/>
      <c r="O7" s="43"/>
      <c r="P7" s="109"/>
      <c r="R7" s="115"/>
      <c r="S7" s="115"/>
      <c r="T7" s="115"/>
      <c r="U7" s="115"/>
      <c r="V7" s="119"/>
      <c r="W7" s="118"/>
      <c r="X7" s="118" t="s">
        <v>22</v>
      </c>
      <c r="Y7" s="118" t="s">
        <v>23</v>
      </c>
      <c r="AA7" s="120"/>
      <c r="AB7" s="115"/>
    </row>
    <row r="8" s="1" customFormat="1" ht="43" customHeight="1" spans="1:28">
      <c r="A8" s="44" t="s">
        <v>24</v>
      </c>
      <c r="B8" s="58"/>
      <c r="C8" s="59"/>
      <c r="D8" s="59"/>
      <c r="E8" s="60"/>
      <c r="F8" s="57"/>
      <c r="G8" s="43"/>
      <c r="H8" s="61"/>
      <c r="I8" s="61"/>
      <c r="J8" s="61"/>
      <c r="K8" s="111"/>
      <c r="L8" s="61"/>
      <c r="M8" s="61"/>
      <c r="N8" s="61"/>
      <c r="O8" s="43"/>
      <c r="P8" s="109"/>
      <c r="R8" s="115"/>
      <c r="S8" s="115"/>
      <c r="T8" s="115"/>
      <c r="U8" s="115"/>
      <c r="V8" s="119"/>
      <c r="W8" s="118"/>
      <c r="X8" s="118"/>
      <c r="Y8" s="118"/>
      <c r="Z8" s="120"/>
      <c r="AA8" s="120"/>
      <c r="AB8" s="115"/>
    </row>
    <row r="9" s="1" customFormat="1" ht="21" customHeight="1" spans="1:28">
      <c r="A9" s="44" t="s">
        <v>25</v>
      </c>
      <c r="B9" s="62"/>
      <c r="C9" s="63" t="s">
        <v>26</v>
      </c>
      <c r="D9" s="62"/>
      <c r="E9" s="62"/>
      <c r="F9" s="64"/>
      <c r="G9" s="2"/>
      <c r="H9" s="2"/>
      <c r="M9" s="2"/>
      <c r="N9" s="2"/>
      <c r="O9" s="2"/>
      <c r="P9" s="64"/>
      <c r="R9" s="115"/>
      <c r="S9" s="115"/>
      <c r="T9" s="115"/>
      <c r="U9" s="115"/>
      <c r="V9" s="119"/>
      <c r="W9" s="119"/>
      <c r="X9" s="119"/>
      <c r="Y9" s="119"/>
      <c r="Z9" s="115"/>
      <c r="AA9" s="115"/>
      <c r="AB9" s="115"/>
    </row>
    <row r="10" s="1" customFormat="1" ht="21" customHeight="1" spans="1:28">
      <c r="A10" s="44" t="s">
        <v>27</v>
      </c>
      <c r="B10" s="58"/>
      <c r="C10" s="65"/>
      <c r="D10" s="65"/>
      <c r="E10" s="66"/>
      <c r="F10" s="64"/>
      <c r="G10" s="2"/>
      <c r="H10" s="2"/>
      <c r="I10" s="112" t="s">
        <v>28</v>
      </c>
      <c r="J10" s="113"/>
      <c r="K10" s="64"/>
      <c r="L10" s="64"/>
      <c r="M10" s="2"/>
      <c r="N10" s="2"/>
      <c r="O10" s="2"/>
      <c r="P10" s="64"/>
      <c r="R10" s="115"/>
      <c r="S10" s="115"/>
      <c r="T10" s="115"/>
      <c r="U10" s="115"/>
      <c r="V10" s="119"/>
      <c r="W10" s="119"/>
      <c r="X10" s="119"/>
      <c r="Y10" s="119"/>
      <c r="Z10" s="115"/>
      <c r="AA10" s="115"/>
      <c r="AB10" s="115"/>
    </row>
    <row r="11" s="1" customFormat="1" ht="21" customHeight="1" spans="1:28">
      <c r="A11" s="44" t="s">
        <v>29</v>
      </c>
      <c r="B11" s="67"/>
      <c r="C11" s="68"/>
      <c r="D11" s="68"/>
      <c r="E11" s="69"/>
      <c r="F11" s="64"/>
      <c r="G11" s="64"/>
      <c r="H11" s="2"/>
      <c r="I11" s="114"/>
      <c r="J11" s="115" t="s">
        <v>30</v>
      </c>
      <c r="K11" s="64"/>
      <c r="L11" s="64"/>
      <c r="M11" s="64"/>
      <c r="N11" s="64"/>
      <c r="O11" s="64"/>
      <c r="P11" s="64"/>
      <c r="R11" s="115"/>
      <c r="S11" s="115"/>
      <c r="T11" s="115"/>
      <c r="U11" s="115"/>
      <c r="V11" s="115"/>
      <c r="W11" s="115"/>
      <c r="X11" s="115"/>
      <c r="Y11" s="115"/>
      <c r="Z11" s="115"/>
      <c r="AA11" s="115"/>
      <c r="AB11" s="115"/>
    </row>
    <row r="12" s="1" customFormat="1" ht="21" customHeight="1" spans="1:28">
      <c r="A12" s="44" t="s">
        <v>31</v>
      </c>
      <c r="B12" s="70"/>
      <c r="C12" s="68"/>
      <c r="D12" s="68"/>
      <c r="E12" s="69"/>
      <c r="F12" s="64"/>
      <c r="G12" s="64"/>
      <c r="H12" s="2"/>
      <c r="I12" s="116"/>
      <c r="J12" s="115" t="s">
        <v>32</v>
      </c>
      <c r="K12" s="2"/>
      <c r="L12" s="2"/>
      <c r="M12" s="64"/>
      <c r="N12" s="64"/>
      <c r="O12" s="64"/>
      <c r="P12" s="64"/>
      <c r="R12" s="115"/>
      <c r="S12" s="115"/>
      <c r="T12" s="115"/>
      <c r="U12" s="115"/>
      <c r="V12" s="115"/>
      <c r="W12" s="115"/>
      <c r="X12" s="115"/>
      <c r="Y12" s="115"/>
      <c r="Z12" s="115"/>
      <c r="AA12" s="115"/>
      <c r="AB12" s="115"/>
    </row>
    <row r="13" s="1" customFormat="1" ht="21" customHeight="1" spans="1:28">
      <c r="A13" s="44" t="s">
        <v>33</v>
      </c>
      <c r="B13" s="70" t="str">
        <f>IFERROR(VLOOKUP(B12,X2:Y7,2,),"")</f>
        <v/>
      </c>
      <c r="C13" s="68"/>
      <c r="D13" s="68"/>
      <c r="E13" s="69"/>
      <c r="F13" s="71"/>
      <c r="G13" s="64"/>
      <c r="H13" s="2"/>
      <c r="I13" s="117"/>
      <c r="J13" s="115" t="s">
        <v>34</v>
      </c>
      <c r="K13" s="2"/>
      <c r="L13" s="2"/>
      <c r="M13" s="64"/>
      <c r="N13" s="64"/>
      <c r="O13" s="64"/>
      <c r="P13" s="64"/>
      <c r="R13" s="115"/>
      <c r="S13" s="115"/>
      <c r="T13" s="115"/>
      <c r="U13" s="115"/>
      <c r="V13" s="115"/>
      <c r="W13" s="115"/>
      <c r="X13" s="115"/>
      <c r="Y13" s="115"/>
      <c r="Z13" s="115"/>
      <c r="AA13" s="115"/>
      <c r="AB13" s="115"/>
    </row>
    <row r="14" s="1" customFormat="1" ht="25.8" customHeight="1" spans="1:28">
      <c r="A14" s="44" t="s">
        <v>35</v>
      </c>
      <c r="B14" s="67"/>
      <c r="C14" s="72"/>
      <c r="D14" s="72"/>
      <c r="E14" s="73"/>
      <c r="F14" s="74"/>
      <c r="G14" s="64"/>
      <c r="H14" s="2"/>
      <c r="I14" s="64"/>
      <c r="J14" s="115"/>
      <c r="K14" s="2"/>
      <c r="L14" s="2"/>
      <c r="M14" s="64"/>
      <c r="N14" s="64"/>
      <c r="O14" s="64"/>
      <c r="P14" s="64"/>
      <c r="R14" s="115"/>
      <c r="S14" s="115"/>
      <c r="T14" s="115"/>
      <c r="U14" s="115"/>
      <c r="V14" s="115"/>
      <c r="W14" s="115"/>
      <c r="X14" s="115"/>
      <c r="Y14" s="115"/>
      <c r="Z14" s="115"/>
      <c r="AA14" s="115"/>
      <c r="AB14" s="115"/>
    </row>
    <row r="15" ht="25.35" customHeight="1" spans="1:28">
      <c r="A15" s="75" t="s">
        <v>36</v>
      </c>
      <c r="B15" s="76"/>
      <c r="C15" s="77"/>
      <c r="D15" s="77"/>
      <c r="E15" s="78"/>
      <c r="F15" s="74" t="s">
        <v>37</v>
      </c>
      <c r="G15" s="64"/>
      <c r="I15" s="64"/>
      <c r="J15" s="115"/>
      <c r="M15" s="64"/>
      <c r="N15" s="64"/>
      <c r="O15" s="64"/>
      <c r="P15" s="64"/>
      <c r="R15" s="91"/>
      <c r="S15" s="91"/>
      <c r="T15" s="91"/>
      <c r="U15" s="91"/>
      <c r="V15" s="91"/>
      <c r="W15" s="91"/>
      <c r="X15" s="91"/>
      <c r="Y15" s="91"/>
      <c r="Z15" s="91"/>
      <c r="AA15" s="91"/>
      <c r="AB15" s="91"/>
    </row>
    <row r="16" ht="28.05" customHeight="1" spans="1:16">
      <c r="A16" s="79" t="s">
        <v>38</v>
      </c>
      <c r="B16" s="75" t="s">
        <v>39</v>
      </c>
      <c r="C16" s="80"/>
      <c r="D16" s="75" t="s">
        <v>40</v>
      </c>
      <c r="E16" s="26"/>
      <c r="F16" s="81" t="s">
        <v>41</v>
      </c>
      <c r="G16" s="82"/>
      <c r="H16" s="39"/>
      <c r="I16" s="64"/>
      <c r="J16" s="39"/>
      <c r="K16" s="39"/>
      <c r="L16" s="82"/>
      <c r="M16" s="82"/>
      <c r="N16" s="82"/>
      <c r="O16" s="82"/>
      <c r="P16" s="82"/>
    </row>
    <row r="17" ht="25.2" customHeight="1" spans="1:6">
      <c r="A17" s="83"/>
      <c r="B17" s="75" t="s">
        <v>42</v>
      </c>
      <c r="C17" s="26"/>
      <c r="D17" s="75" t="s">
        <v>43</v>
      </c>
      <c r="E17" s="26"/>
      <c r="F17" s="84" t="s">
        <v>44</v>
      </c>
    </row>
    <row r="18" ht="25.2" customHeight="1" spans="1:6">
      <c r="A18" s="85"/>
      <c r="B18" s="75" t="s">
        <v>45</v>
      </c>
      <c r="C18" s="86"/>
      <c r="D18" s="75" t="s">
        <v>46</v>
      </c>
      <c r="E18" s="86"/>
      <c r="F18" s="84" t="s">
        <v>47</v>
      </c>
    </row>
    <row r="19" ht="25.2" customHeight="1" spans="1:6">
      <c r="A19" s="83" t="s">
        <v>48</v>
      </c>
      <c r="B19" s="75" t="s">
        <v>49</v>
      </c>
      <c r="C19" s="26"/>
      <c r="D19" s="75" t="s">
        <v>50</v>
      </c>
      <c r="E19" s="26"/>
      <c r="F19" s="87" t="s">
        <v>51</v>
      </c>
    </row>
    <row r="20" ht="25.2" customHeight="1" spans="1:6">
      <c r="A20" s="83"/>
      <c r="B20" s="75" t="s">
        <v>52</v>
      </c>
      <c r="C20" s="26"/>
      <c r="D20" s="75" t="s">
        <v>53</v>
      </c>
      <c r="E20" s="26"/>
      <c r="F20" s="87" t="s">
        <v>54</v>
      </c>
    </row>
    <row r="21" ht="37.05" customHeight="1" spans="1:6">
      <c r="A21" s="83"/>
      <c r="B21" s="75" t="s">
        <v>55</v>
      </c>
      <c r="C21" s="88"/>
      <c r="D21" s="89"/>
      <c r="E21" s="90"/>
      <c r="F21" s="91"/>
    </row>
    <row r="22" ht="100.95" customHeight="1" spans="1:6">
      <c r="A22" s="92" t="s">
        <v>56</v>
      </c>
      <c r="B22" s="93" t="s">
        <v>57</v>
      </c>
      <c r="C22" s="93"/>
      <c r="D22" s="93" t="s">
        <v>58</v>
      </c>
      <c r="E22" s="94"/>
      <c r="F22" s="91"/>
    </row>
    <row r="23" s="39" customFormat="1" ht="38.25" customHeight="1" spans="1:16">
      <c r="A23" s="95"/>
      <c r="B23" s="93" t="s">
        <v>59</v>
      </c>
      <c r="C23" s="96"/>
      <c r="D23" s="93" t="s">
        <v>60</v>
      </c>
      <c r="E23" s="94"/>
      <c r="F23" s="2"/>
      <c r="G23" s="2"/>
      <c r="H23" s="2"/>
      <c r="I23" s="2"/>
      <c r="J23" s="2"/>
      <c r="K23" s="2"/>
      <c r="L23" s="2"/>
      <c r="M23" s="2"/>
      <c r="N23" s="2"/>
      <c r="O23" s="2"/>
      <c r="P23" s="2"/>
    </row>
    <row r="24" s="39" customFormat="1" ht="26.25" customHeight="1" spans="1:16">
      <c r="A24" s="97" t="s">
        <v>61</v>
      </c>
      <c r="B24" s="98">
        <v>0</v>
      </c>
      <c r="C24" s="99"/>
      <c r="D24" s="99"/>
      <c r="E24" s="100" t="str">
        <f>IF(B24=0,"ND",B24)</f>
        <v>ND</v>
      </c>
      <c r="F24" s="2"/>
      <c r="G24" s="2"/>
      <c r="H24" s="2"/>
      <c r="I24" s="2"/>
      <c r="J24" s="2"/>
      <c r="K24" s="2"/>
      <c r="L24" s="2"/>
      <c r="M24" s="2"/>
      <c r="N24" s="2"/>
      <c r="O24" s="2"/>
      <c r="P24" s="2"/>
    </row>
    <row r="25" ht="33.45" customHeight="1" spans="1:5">
      <c r="A25" s="101" t="s">
        <v>62</v>
      </c>
      <c r="B25" s="102" t="s">
        <v>63</v>
      </c>
      <c r="C25" s="103"/>
      <c r="D25" s="103"/>
      <c r="E25" s="104"/>
    </row>
    <row r="26" ht="106.2" customHeight="1" spans="1:5">
      <c r="A26" s="101" t="s">
        <v>64</v>
      </c>
      <c r="B26" s="105" t="s">
        <v>65</v>
      </c>
      <c r="C26" s="105"/>
      <c r="D26" s="105"/>
      <c r="E26" s="105"/>
    </row>
    <row r="27" customHeight="1" spans="1:5">
      <c r="A27" s="106" t="s">
        <v>66</v>
      </c>
      <c r="B27" s="107"/>
      <c r="C27" s="107"/>
      <c r="D27" s="107"/>
      <c r="E27" s="108"/>
    </row>
    <row r="28" customHeight="1" spans="1:5">
      <c r="A28" s="44" t="s">
        <v>67</v>
      </c>
      <c r="B28" s="3"/>
      <c r="C28" s="3"/>
      <c r="D28" s="3"/>
      <c r="E28" s="3"/>
    </row>
    <row r="29" customHeight="1" spans="1:5">
      <c r="A29" s="44" t="s">
        <v>68</v>
      </c>
      <c r="B29" s="3"/>
      <c r="C29" s="3"/>
      <c r="D29" s="3"/>
      <c r="E29" s="3"/>
    </row>
    <row r="30" customHeight="1" spans="1:5">
      <c r="A30" s="44" t="s">
        <v>69</v>
      </c>
      <c r="B30" s="3"/>
      <c r="C30" s="3"/>
      <c r="D30" s="3"/>
      <c r="E30" s="3"/>
    </row>
  </sheetData>
  <sheetProtection formatCells="0" formatColumns="0" formatRows="0" sort="0" autoFilter="0" pivotTables="0"/>
  <mergeCells count="30">
    <mergeCell ref="A1:E1"/>
    <mergeCell ref="B2:E2"/>
    <mergeCell ref="B3:E3"/>
    <mergeCell ref="B4:E4"/>
    <mergeCell ref="B5:E5"/>
    <mergeCell ref="B6:E6"/>
    <mergeCell ref="B7:E7"/>
    <mergeCell ref="B8:E8"/>
    <mergeCell ref="D9:E9"/>
    <mergeCell ref="B10:E10"/>
    <mergeCell ref="B11:E11"/>
    <mergeCell ref="B12:E12"/>
    <mergeCell ref="B13:E13"/>
    <mergeCell ref="B14:E14"/>
    <mergeCell ref="B15:E15"/>
    <mergeCell ref="C21:E21"/>
    <mergeCell ref="B24:D24"/>
    <mergeCell ref="B25:E25"/>
    <mergeCell ref="B26:E26"/>
    <mergeCell ref="A27:E27"/>
    <mergeCell ref="B28:E28"/>
    <mergeCell ref="B29:E29"/>
    <mergeCell ref="B30:E30"/>
    <mergeCell ref="A16:A18"/>
    <mergeCell ref="A19:A21"/>
    <mergeCell ref="A22:A23"/>
    <mergeCell ref="H2:J3"/>
    <mergeCell ref="L2:N3"/>
    <mergeCell ref="H5:J7"/>
    <mergeCell ref="L5:N7"/>
  </mergeCells>
  <dataValidations count="4">
    <dataValidation type="list" allowBlank="1" showInputMessage="1" sqref="B12:E12">
      <formula1>$X$2:$X$7</formula1>
    </dataValidation>
    <dataValidation type="list" allowBlank="1" showInputMessage="1" sqref="C16">
      <formula1>$F$15:$F$16</formula1>
    </dataValidation>
    <dataValidation type="list" allowBlank="1" showInputMessage="1" sqref="C17">
      <formula1>$F$17:$F$18</formula1>
    </dataValidation>
    <dataValidation type="list" allowBlank="1" showInputMessage="1" showErrorMessage="1" sqref="B21">
      <formula1>$F$19:$F$20</formula1>
    </dataValidation>
  </dataValidations>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AC373"/>
  <sheetViews>
    <sheetView topLeftCell="B1" workbookViewId="0">
      <selection activeCell="L9" sqref="L9"/>
    </sheetView>
  </sheetViews>
  <sheetFormatPr defaultColWidth="9" defaultRowHeight="13.8"/>
  <cols>
    <col min="1" max="1" width="9" style="2"/>
    <col min="2" max="2" width="15.1111111111111" style="3" customWidth="1"/>
    <col min="3" max="6" width="12.5555555555556" style="4" customWidth="1"/>
    <col min="7" max="7" width="11.4444444444444" style="5" customWidth="1"/>
    <col min="8" max="8" width="13.6666666666667" style="5" customWidth="1"/>
    <col min="9" max="10" width="11.4444444444444" style="5" customWidth="1"/>
    <col min="11" max="15" width="11.3333333333333" style="6" customWidth="1"/>
    <col min="16" max="16" width="12.4444444444444" style="4" customWidth="1"/>
    <col min="17" max="16384" width="9" style="2"/>
  </cols>
  <sheetData>
    <row r="1" ht="20.25" customHeight="1" spans="1:16">
      <c r="A1" s="7" t="s">
        <v>70</v>
      </c>
      <c r="B1" s="7"/>
      <c r="C1" s="7"/>
      <c r="D1" s="7"/>
      <c r="E1" s="7"/>
      <c r="F1" s="7"/>
      <c r="G1" s="7"/>
      <c r="H1" s="7"/>
      <c r="I1" s="7"/>
      <c r="J1" s="7"/>
      <c r="K1" s="27"/>
      <c r="L1" s="27"/>
      <c r="M1" s="27"/>
      <c r="N1" s="27"/>
      <c r="O1" s="27"/>
      <c r="P1" s="28"/>
    </row>
    <row r="2" s="1" customFormat="1" ht="19.05" customHeight="1" spans="1:29">
      <c r="A2" s="8" t="s">
        <v>71</v>
      </c>
      <c r="B2" s="8" t="s">
        <v>72</v>
      </c>
      <c r="C2" s="9" t="s">
        <v>73</v>
      </c>
      <c r="D2" s="10" t="s">
        <v>74</v>
      </c>
      <c r="E2" s="11" t="s">
        <v>75</v>
      </c>
      <c r="F2" s="12"/>
      <c r="G2" s="12"/>
      <c r="H2" s="13"/>
      <c r="I2" s="29" t="s">
        <v>76</v>
      </c>
      <c r="J2" s="30"/>
      <c r="K2" s="31" t="s">
        <v>77</v>
      </c>
      <c r="L2" s="31"/>
      <c r="M2" s="31"/>
      <c r="N2" s="31"/>
      <c r="O2" s="31"/>
      <c r="P2" s="21" t="s">
        <v>78</v>
      </c>
      <c r="Q2" s="2"/>
      <c r="R2" s="2"/>
      <c r="S2" s="2"/>
      <c r="T2" s="2"/>
      <c r="U2" s="2"/>
      <c r="V2" s="2"/>
      <c r="W2" s="2"/>
      <c r="X2" s="2"/>
      <c r="Y2" s="2"/>
      <c r="Z2" s="2"/>
      <c r="AA2" s="2"/>
      <c r="AB2" s="2"/>
      <c r="AC2" s="2"/>
    </row>
    <row r="3" s="1" customFormat="1" ht="32.4" customHeight="1" spans="1:29">
      <c r="A3" s="14"/>
      <c r="B3" s="14"/>
      <c r="C3" s="15"/>
      <c r="D3" s="16"/>
      <c r="E3" s="11" t="s">
        <v>79</v>
      </c>
      <c r="F3" s="12"/>
      <c r="G3" s="13"/>
      <c r="H3" s="17" t="s">
        <v>80</v>
      </c>
      <c r="I3" s="32" t="s">
        <v>81</v>
      </c>
      <c r="J3" s="32" t="s">
        <v>82</v>
      </c>
      <c r="K3" s="31" t="s">
        <v>83</v>
      </c>
      <c r="L3" s="33" t="s">
        <v>84</v>
      </c>
      <c r="M3" s="31" t="s">
        <v>85</v>
      </c>
      <c r="N3" s="31" t="s">
        <v>86</v>
      </c>
      <c r="O3" s="34" t="s">
        <v>87</v>
      </c>
      <c r="P3" s="21"/>
      <c r="Q3" s="2"/>
      <c r="R3" s="2"/>
      <c r="S3" s="2"/>
      <c r="T3" s="2"/>
      <c r="U3" s="2"/>
      <c r="V3" s="2"/>
      <c r="W3" s="2"/>
      <c r="X3" s="2"/>
      <c r="Y3" s="2"/>
      <c r="Z3" s="2"/>
      <c r="AA3" s="2"/>
      <c r="AB3" s="2"/>
      <c r="AC3" s="2"/>
    </row>
    <row r="4" s="1" customFormat="1" ht="40.8" customHeight="1" spans="1:29">
      <c r="A4" s="18"/>
      <c r="B4" s="18"/>
      <c r="C4" s="19"/>
      <c r="D4" s="20"/>
      <c r="E4" s="21" t="s">
        <v>88</v>
      </c>
      <c r="F4" s="22" t="s">
        <v>89</v>
      </c>
      <c r="G4" s="23" t="s">
        <v>90</v>
      </c>
      <c r="H4" s="24"/>
      <c r="I4" s="35"/>
      <c r="J4" s="35"/>
      <c r="K4" s="31"/>
      <c r="L4" s="36"/>
      <c r="M4" s="37"/>
      <c r="N4" s="37"/>
      <c r="O4" s="38"/>
      <c r="P4" s="21"/>
      <c r="Q4" s="2"/>
      <c r="R4" s="2"/>
      <c r="S4" s="2"/>
      <c r="T4" s="2"/>
      <c r="U4" s="2"/>
      <c r="V4" s="2"/>
      <c r="W4" s="2"/>
      <c r="X4" s="2"/>
      <c r="Y4" s="2"/>
      <c r="Z4" s="2"/>
      <c r="AA4" s="2"/>
      <c r="AB4" s="2"/>
      <c r="AC4" s="2"/>
    </row>
    <row r="5" ht="20.25" customHeight="1" spans="1:10">
      <c r="A5" s="3"/>
      <c r="F5" s="25"/>
      <c r="G5" s="4" t="str">
        <f>IFERROR(baoliuxiaoshuwei((E5-F5)/(E5+F5)*100,0),"")</f>
        <v/>
      </c>
      <c r="H5" s="26" t="str">
        <f>IFERROR(IF(ISBLANK(I5),"",IF(J5="ND","否","是")),"")</f>
        <v/>
      </c>
      <c r="I5" s="4"/>
      <c r="J5" s="4" t="str">
        <f>IFERROR(IF(I5="ND","ND",XiuYue((((I5-基础页!$B$24)*基础页!$B$15/C5)),3,-1,9999)),"")</f>
        <v/>
      </c>
    </row>
    <row r="6" ht="20.25" customHeight="1" spans="1:10">
      <c r="A6" s="3"/>
      <c r="G6" s="4" t="str">
        <f>IFERROR(baoliuxiaoshuwei((E6-F6)/(E6+F6)*100,0),"")</f>
        <v/>
      </c>
      <c r="H6" s="26" t="str">
        <f t="shared" ref="H6:H69" si="0">IFERROR(IF(ISBLANK(I6),"",IF(J6="ND","否","是")),"")</f>
        <v/>
      </c>
      <c r="I6" s="4"/>
      <c r="J6" s="4" t="str">
        <f>IFERROR(IF(I6="ND","ND",XiuYue((((I6-基础页!$B$24)*基础页!$B$15/C6)),3,-1,9999)),"")</f>
        <v/>
      </c>
    </row>
    <row r="7" ht="20.25" customHeight="1" spans="1:10">
      <c r="A7" s="3"/>
      <c r="G7" s="4" t="str">
        <f>IFERROR(baoliuxiaoshuwei((E7-F7)/(E7+F7)*100,0),"")</f>
        <v/>
      </c>
      <c r="H7" s="26" t="str">
        <f t="shared" si="0"/>
        <v/>
      </c>
      <c r="I7" s="4"/>
      <c r="J7" s="4" t="str">
        <f>IFERROR(IF(I7="ND","ND",XiuYue((((I7-基础页!$B$24)*基础页!$B$15/C7)),3,-1,9999)),"")</f>
        <v/>
      </c>
    </row>
    <row r="8" ht="20.25" customHeight="1" spans="1:10">
      <c r="A8" s="3"/>
      <c r="G8" s="4" t="str">
        <f>IFERROR(baoliuxiaoshuwei((E8-F8)/(E8+F8)*100,0),"")</f>
        <v/>
      </c>
      <c r="H8" s="26" t="str">
        <f t="shared" si="0"/>
        <v/>
      </c>
      <c r="I8" s="4"/>
      <c r="J8" s="4" t="str">
        <f>IFERROR(IF(I8="ND","ND",XiuYue((((I8-基础页!$B$24)*基础页!$B$15/C8)),3,-1,9999)),"")</f>
        <v/>
      </c>
    </row>
    <row r="9" ht="20.25" customHeight="1" spans="1:10">
      <c r="A9" s="3"/>
      <c r="G9" s="4" t="str">
        <f>IFERROR(baoliuxiaoshuwei((E9-F9)/(E9+F9)*100,0),"")</f>
        <v/>
      </c>
      <c r="H9" s="26" t="str">
        <f t="shared" si="0"/>
        <v/>
      </c>
      <c r="I9" s="4"/>
      <c r="J9" s="4" t="str">
        <f>IFERROR(IF(I9="ND","ND",XiuYue((((I9-基础页!$B$24)*基础页!$B$15/C9)),3,-1,9999)),"")</f>
        <v/>
      </c>
    </row>
    <row r="10" ht="20.25" customHeight="1" spans="1:10">
      <c r="A10" s="3"/>
      <c r="G10" s="4" t="str">
        <f>IFERROR(baoliuxiaoshuwei((E10-F10)/(E10+F10)*100,0),"")</f>
        <v/>
      </c>
      <c r="H10" s="26" t="str">
        <f t="shared" si="0"/>
        <v/>
      </c>
      <c r="I10" s="4"/>
      <c r="J10" s="4" t="str">
        <f>IFERROR(IF(I10="ND","ND",XiuYue((((I10-基础页!$B$24)*基础页!$B$15/C10)),3,-1,9999)),"")</f>
        <v/>
      </c>
    </row>
    <row r="11" ht="20.25" customHeight="1" spans="1:10">
      <c r="A11" s="3"/>
      <c r="G11" s="4" t="str">
        <f>IFERROR(baoliuxiaoshuwei((E11-F11)/(E11+F11)*100,0),"")</f>
        <v/>
      </c>
      <c r="H11" s="26" t="str">
        <f t="shared" si="0"/>
        <v/>
      </c>
      <c r="I11" s="4"/>
      <c r="J11" s="4" t="str">
        <f>IFERROR(IF(I11="ND","ND",XiuYue((((I11-基础页!$B$24)*基础页!$B$15/C11)),3,-1,9999)),"")</f>
        <v/>
      </c>
    </row>
    <row r="12" ht="20.25" customHeight="1" spans="1:10">
      <c r="A12" s="3"/>
      <c r="G12" s="4" t="str">
        <f>IFERROR(baoliuxiaoshuwei((E12-F12)/(E12+F12)*100,0),"")</f>
        <v/>
      </c>
      <c r="H12" s="26" t="str">
        <f t="shared" si="0"/>
        <v/>
      </c>
      <c r="I12" s="4"/>
      <c r="J12" s="4" t="str">
        <f>IFERROR(IF(I12="ND","ND",XiuYue((((I12-基础页!$B$24)*基础页!$B$15/C12)),3,-1,9999)),"")</f>
        <v/>
      </c>
    </row>
    <row r="13" ht="20.25" customHeight="1" spans="1:10">
      <c r="A13" s="3"/>
      <c r="G13" s="4" t="str">
        <f>IFERROR(baoliuxiaoshuwei((E13-F13)/(E13+F13)*100,0),"")</f>
        <v/>
      </c>
      <c r="H13" s="26" t="str">
        <f t="shared" si="0"/>
        <v/>
      </c>
      <c r="I13" s="4"/>
      <c r="J13" s="4" t="str">
        <f>IFERROR(IF(I13="ND","ND",XiuYue((((I13-基础页!$B$24)*基础页!$B$15/C13)),3,-1,9999)),"")</f>
        <v/>
      </c>
    </row>
    <row r="14" ht="20.25" customHeight="1" spans="1:10">
      <c r="A14" s="3"/>
      <c r="G14" s="4" t="str">
        <f>IFERROR(baoliuxiaoshuwei((E14-F14)/(E14+F14)*100,0),"")</f>
        <v/>
      </c>
      <c r="H14" s="26" t="str">
        <f t="shared" si="0"/>
        <v/>
      </c>
      <c r="I14" s="4"/>
      <c r="J14" s="4" t="str">
        <f>IFERROR(IF(I14="ND","ND",XiuYue((((I14-基础页!$B$24)*基础页!$B$15/C14)),3,-1,9999)),"")</f>
        <v/>
      </c>
    </row>
    <row r="15" ht="20.25" customHeight="1" spans="1:10">
      <c r="A15" s="3"/>
      <c r="G15" s="4" t="str">
        <f>IFERROR(baoliuxiaoshuwei((E15-F15)/(E15+F15)*100,0),"")</f>
        <v/>
      </c>
      <c r="H15" s="26" t="str">
        <f t="shared" si="0"/>
        <v/>
      </c>
      <c r="I15" s="4"/>
      <c r="J15" s="4" t="str">
        <f>IFERROR(IF(I15="ND","ND",XiuYue((((I15-基础页!$B$24)*基础页!$B$15/C15)),3,-1,9999)),"")</f>
        <v/>
      </c>
    </row>
    <row r="16" ht="20.25" customHeight="1" spans="1:10">
      <c r="A16" s="3"/>
      <c r="G16" s="4" t="str">
        <f>IFERROR(baoliuxiaoshuwei((E16-F16)/(E16+F16)*100,0),"")</f>
        <v/>
      </c>
      <c r="H16" s="26" t="str">
        <f t="shared" si="0"/>
        <v/>
      </c>
      <c r="I16" s="4"/>
      <c r="J16" s="4" t="str">
        <f>IFERROR(IF(I16="ND","ND",XiuYue((((I16-基础页!$B$24)*基础页!$B$15/C16)),3,-1,9999)),"")</f>
        <v/>
      </c>
    </row>
    <row r="17" ht="20.25" customHeight="1" spans="1:10">
      <c r="A17" s="3"/>
      <c r="G17" s="4" t="str">
        <f>IFERROR(baoliuxiaoshuwei((E17-F17)/(E17+F17)*100,0),"")</f>
        <v/>
      </c>
      <c r="H17" s="26" t="str">
        <f t="shared" si="0"/>
        <v/>
      </c>
      <c r="I17" s="4"/>
      <c r="J17" s="4" t="str">
        <f>IFERROR(IF(I17="ND","ND",XiuYue((((I17-基础页!$B$24)*基础页!$B$15/C17)),3,-1,9999)),"")</f>
        <v/>
      </c>
    </row>
    <row r="18" ht="20.25" customHeight="1" spans="1:10">
      <c r="A18" s="3"/>
      <c r="G18" s="4" t="str">
        <f>IFERROR(baoliuxiaoshuwei((E18-F18)/(E18+F18)*100,0),"")</f>
        <v/>
      </c>
      <c r="H18" s="26" t="str">
        <f t="shared" si="0"/>
        <v/>
      </c>
      <c r="I18" s="4"/>
      <c r="J18" s="4" t="str">
        <f>IFERROR(IF(I18="ND","ND",XiuYue((((I18-基础页!$B$24)*基础页!$B$15/C18)),3,-1,9999)),"")</f>
        <v/>
      </c>
    </row>
    <row r="19" ht="20.25" customHeight="1" spans="1:10">
      <c r="A19" s="3"/>
      <c r="G19" s="4" t="str">
        <f>IFERROR(baoliuxiaoshuwei((E19-F19)/(E19+F19)*100,0),"")</f>
        <v/>
      </c>
      <c r="H19" s="26" t="str">
        <f t="shared" si="0"/>
        <v/>
      </c>
      <c r="I19" s="4"/>
      <c r="J19" s="4" t="str">
        <f>IFERROR(IF(I19="ND","ND",XiuYue((((I19-基础页!$B$24)*基础页!$B$15/C19)),3,-1,9999)),"")</f>
        <v/>
      </c>
    </row>
    <row r="20" ht="20.25" customHeight="1" spans="1:10">
      <c r="A20" s="3"/>
      <c r="G20" s="4" t="str">
        <f>IFERROR(baoliuxiaoshuwei((E20-F20)/(E20+F20)*100,0),"")</f>
        <v/>
      </c>
      <c r="H20" s="26" t="str">
        <f t="shared" si="0"/>
        <v/>
      </c>
      <c r="I20" s="4"/>
      <c r="J20" s="4" t="str">
        <f>IFERROR(IF(I20="ND","ND",XiuYue((((I20-基础页!$B$24)*基础页!$B$15/C20)),3,-1,9999)),"")</f>
        <v/>
      </c>
    </row>
    <row r="21" ht="20.25" customHeight="1" spans="1:10">
      <c r="A21" s="3"/>
      <c r="G21" s="4" t="str">
        <f>IFERROR(baoliuxiaoshuwei((E21-F21)/(E21+F21)*100,0),"")</f>
        <v/>
      </c>
      <c r="H21" s="26" t="str">
        <f t="shared" si="0"/>
        <v/>
      </c>
      <c r="I21" s="4"/>
      <c r="J21" s="4" t="str">
        <f>IFERROR(IF(I21="ND","ND",XiuYue((((I21-基础页!$B$24)*基础页!$B$15/C21)),3,-1,9999)),"")</f>
        <v/>
      </c>
    </row>
    <row r="22" ht="20.25" customHeight="1" spans="1:10">
      <c r="A22" s="3"/>
      <c r="G22" s="4" t="str">
        <f>IFERROR(baoliuxiaoshuwei((E22-F22)/(E22+F22)*100,0),"")</f>
        <v/>
      </c>
      <c r="H22" s="26" t="str">
        <f t="shared" si="0"/>
        <v/>
      </c>
      <c r="I22" s="4"/>
      <c r="J22" s="4" t="str">
        <f>IFERROR(IF(I22="ND","ND",XiuYue((((I22-基础页!$B$24)*基础页!$B$15/C22)),3,-1,9999)),"")</f>
        <v/>
      </c>
    </row>
    <row r="23" ht="20.25" customHeight="1" spans="1:10">
      <c r="A23" s="3"/>
      <c r="G23" s="4" t="str">
        <f>IFERROR(baoliuxiaoshuwei((E23-F23)/(E23+F23)*100,0),"")</f>
        <v/>
      </c>
      <c r="H23" s="26" t="str">
        <f t="shared" si="0"/>
        <v/>
      </c>
      <c r="I23" s="4"/>
      <c r="J23" s="4" t="str">
        <f>IFERROR(IF(I23="ND","ND",XiuYue((((I23-基础页!$B$24)*基础页!$B$15/C23)),3,-1,9999)),"")</f>
        <v/>
      </c>
    </row>
    <row r="24" ht="20.25" customHeight="1" spans="1:10">
      <c r="A24" s="3"/>
      <c r="G24" s="4" t="str">
        <f>IFERROR(baoliuxiaoshuwei((E24-F24)/(E24+F24)*100,0),"")</f>
        <v/>
      </c>
      <c r="H24" s="26" t="str">
        <f t="shared" si="0"/>
        <v/>
      </c>
      <c r="I24" s="4"/>
      <c r="J24" s="4" t="str">
        <f>IFERROR(IF(I24="ND","ND",XiuYue((((I24-基础页!$B$24)*基础页!$B$15/C24)),3,-1,9999)),"")</f>
        <v/>
      </c>
    </row>
    <row r="25" ht="20.25" customHeight="1" spans="1:10">
      <c r="A25" s="3"/>
      <c r="G25" s="4" t="str">
        <f>IFERROR(baoliuxiaoshuwei((E25-F25)/(E25+F25)*100,0),"")</f>
        <v/>
      </c>
      <c r="H25" s="26" t="str">
        <f t="shared" si="0"/>
        <v/>
      </c>
      <c r="I25" s="4"/>
      <c r="J25" s="4" t="str">
        <f>IFERROR(IF(I25="ND","ND",XiuYue((((I25-基础页!$B$24)*基础页!$B$15/C25)),3,-1,9999)),"")</f>
        <v/>
      </c>
    </row>
    <row r="26" ht="20.25" customHeight="1" spans="1:10">
      <c r="A26" s="3"/>
      <c r="G26" s="4" t="str">
        <f>IFERROR(baoliuxiaoshuwei((E26-F26)/(E26+F26)*100,0),"")</f>
        <v/>
      </c>
      <c r="H26" s="26" t="str">
        <f t="shared" si="0"/>
        <v/>
      </c>
      <c r="I26" s="4"/>
      <c r="J26" s="4" t="str">
        <f>IFERROR(IF(I26="ND","ND",XiuYue((((I26-基础页!$B$24)*基础页!$B$15/C26)),3,-1,9999)),"")</f>
        <v/>
      </c>
    </row>
    <row r="27" ht="20.25" customHeight="1" spans="1:10">
      <c r="A27" s="3"/>
      <c r="G27" s="4" t="str">
        <f>IFERROR(baoliuxiaoshuwei((E27-F27)/(E27+F27)*100,0),"")</f>
        <v/>
      </c>
      <c r="H27" s="26" t="str">
        <f t="shared" si="0"/>
        <v/>
      </c>
      <c r="I27" s="4"/>
      <c r="J27" s="4" t="str">
        <f>IFERROR(IF(I27="ND","ND",XiuYue((((I27-基础页!$B$24)*基础页!$B$15/C27)),3,-1,9999)),"")</f>
        <v/>
      </c>
    </row>
    <row r="28" ht="20.25" customHeight="1" spans="1:10">
      <c r="A28" s="3"/>
      <c r="G28" s="4" t="str">
        <f>IFERROR(baoliuxiaoshuwei((E28-F28)/(E28+F28)*100,0),"")</f>
        <v/>
      </c>
      <c r="H28" s="26" t="str">
        <f t="shared" si="0"/>
        <v/>
      </c>
      <c r="I28" s="4"/>
      <c r="J28" s="4" t="str">
        <f>IFERROR(IF(I28="ND","ND",XiuYue((((I28-基础页!$B$24)*基础页!$B$15/C28)),3,-1,9999)),"")</f>
        <v/>
      </c>
    </row>
    <row r="29" ht="20.25" customHeight="1" spans="1:10">
      <c r="A29" s="3"/>
      <c r="G29" s="4" t="str">
        <f>IFERROR(baoliuxiaoshuwei((E29-F29)/(E29+F29)*100,0),"")</f>
        <v/>
      </c>
      <c r="H29" s="26" t="str">
        <f t="shared" si="0"/>
        <v/>
      </c>
      <c r="I29" s="4"/>
      <c r="J29" s="4" t="str">
        <f>IFERROR(IF(I29="ND","ND",XiuYue((((I29-基础页!$B$24)*基础页!$B$15/C29)),3,-1,9999)),"")</f>
        <v/>
      </c>
    </row>
    <row r="30" ht="20.25" customHeight="1" spans="1:10">
      <c r="A30" s="3"/>
      <c r="G30" s="4" t="str">
        <f>IFERROR(baoliuxiaoshuwei((E30-F30)/(E30+F30)*100,0),"")</f>
        <v/>
      </c>
      <c r="H30" s="26" t="str">
        <f t="shared" si="0"/>
        <v/>
      </c>
      <c r="I30" s="4"/>
      <c r="J30" s="4" t="str">
        <f>IFERROR(IF(I30="ND","ND",XiuYue((((I30-基础页!$B$24)*基础页!$B$15/C30)),3,-1,9999)),"")</f>
        <v/>
      </c>
    </row>
    <row r="31" ht="20.25" customHeight="1" spans="1:10">
      <c r="A31" s="3"/>
      <c r="G31" s="4" t="str">
        <f>IFERROR(baoliuxiaoshuwei((E31-F31)/(E31+F31)*100,0),"")</f>
        <v/>
      </c>
      <c r="H31" s="26" t="str">
        <f t="shared" si="0"/>
        <v/>
      </c>
      <c r="I31" s="4"/>
      <c r="J31" s="4" t="str">
        <f>IFERROR(IF(I31="ND","ND",XiuYue((((I31-基础页!$B$24)*基础页!$B$15/C31)),3,-1,9999)),"")</f>
        <v/>
      </c>
    </row>
    <row r="32" ht="20.25" customHeight="1" spans="1:10">
      <c r="A32" s="3"/>
      <c r="G32" s="4" t="str">
        <f>IFERROR(baoliuxiaoshuwei((E32-F32)/(E32+F32)*100,0),"")</f>
        <v/>
      </c>
      <c r="H32" s="26" t="str">
        <f t="shared" si="0"/>
        <v/>
      </c>
      <c r="I32" s="4"/>
      <c r="J32" s="4" t="str">
        <f>IFERROR(IF(I32="ND","ND",XiuYue((((I32-基础页!$B$24)*基础页!$B$15/C32)),3,-1,9999)),"")</f>
        <v/>
      </c>
    </row>
    <row r="33" ht="20.25" customHeight="1" spans="1:10">
      <c r="A33" s="3"/>
      <c r="G33" s="4" t="str">
        <f>IFERROR(baoliuxiaoshuwei((E33-F33)/(E33+F33)*100,0),"")</f>
        <v/>
      </c>
      <c r="H33" s="26" t="str">
        <f t="shared" si="0"/>
        <v/>
      </c>
      <c r="I33" s="4"/>
      <c r="J33" s="4" t="str">
        <f>IFERROR(IF(I33="ND","ND",XiuYue((((I33-基础页!$B$24)*基础页!$B$15/C33)),3,-1,9999)),"")</f>
        <v/>
      </c>
    </row>
    <row r="34" ht="20.25" customHeight="1" spans="1:10">
      <c r="A34" s="3"/>
      <c r="G34" s="4" t="str">
        <f>IFERROR(baoliuxiaoshuwei((E34-F34)/(E34+F34)*100,0),"")</f>
        <v/>
      </c>
      <c r="H34" s="26" t="str">
        <f t="shared" si="0"/>
        <v/>
      </c>
      <c r="I34" s="4"/>
      <c r="J34" s="4" t="str">
        <f>IFERROR(IF(I34="ND","ND",XiuYue((((I34-基础页!$B$24)*基础页!$B$15/C34)),3,-1,9999)),"")</f>
        <v/>
      </c>
    </row>
    <row r="35" ht="20.25" customHeight="1" spans="1:10">
      <c r="A35" s="3"/>
      <c r="G35" s="4" t="str">
        <f>IFERROR(baoliuxiaoshuwei((E35-F35)/(E35+F35)*100,0),"")</f>
        <v/>
      </c>
      <c r="H35" s="26" t="str">
        <f t="shared" si="0"/>
        <v/>
      </c>
      <c r="I35" s="4"/>
      <c r="J35" s="4" t="str">
        <f>IFERROR(IF(I35="ND","ND",XiuYue((((I35-基础页!$B$24)*基础页!$B$15/C35)),3,-1,9999)),"")</f>
        <v/>
      </c>
    </row>
    <row r="36" ht="20.25" customHeight="1" spans="1:10">
      <c r="A36" s="3"/>
      <c r="G36" s="4" t="str">
        <f>IFERROR(baoliuxiaoshuwei((E36-F36)/(E36+F36)*100,0),"")</f>
        <v/>
      </c>
      <c r="H36" s="26" t="str">
        <f t="shared" si="0"/>
        <v/>
      </c>
      <c r="I36" s="4"/>
      <c r="J36" s="4" t="str">
        <f>IFERROR(IF(I36="ND","ND",XiuYue((((I36-基础页!$B$24)*基础页!$B$15/C36)),3,-1,9999)),"")</f>
        <v/>
      </c>
    </row>
    <row r="37" ht="20.25" customHeight="1" spans="1:10">
      <c r="A37" s="3"/>
      <c r="G37" s="4" t="str">
        <f>IFERROR(baoliuxiaoshuwei((E37-F37)/(E37+F37)*100,0),"")</f>
        <v/>
      </c>
      <c r="H37" s="26" t="str">
        <f t="shared" si="0"/>
        <v/>
      </c>
      <c r="I37" s="4"/>
      <c r="J37" s="4" t="str">
        <f>IFERROR(IF(I37="ND","ND",XiuYue((((I37-基础页!$B$24)*基础页!$B$15/C37)),3,-1,9999)),"")</f>
        <v/>
      </c>
    </row>
    <row r="38" ht="20.25" customHeight="1" spans="1:10">
      <c r="A38" s="3"/>
      <c r="G38" s="4" t="str">
        <f>IFERROR(baoliuxiaoshuwei((E38-F38)/(E38+F38)*100,0),"")</f>
        <v/>
      </c>
      <c r="H38" s="26" t="str">
        <f t="shared" si="0"/>
        <v/>
      </c>
      <c r="I38" s="4"/>
      <c r="J38" s="4" t="str">
        <f>IFERROR(IF(I38="ND","ND",XiuYue((((I38-基础页!$B$24)*基础页!$B$15/C38)),3,-1,9999)),"")</f>
        <v/>
      </c>
    </row>
    <row r="39" ht="20.25" customHeight="1" spans="1:10">
      <c r="A39" s="3"/>
      <c r="G39" s="4" t="str">
        <f>IFERROR(baoliuxiaoshuwei((E39-F39)/(E39+F39)*100,0),"")</f>
        <v/>
      </c>
      <c r="H39" s="26" t="str">
        <f t="shared" si="0"/>
        <v/>
      </c>
      <c r="I39" s="4"/>
      <c r="J39" s="4" t="str">
        <f>IFERROR(IF(I39="ND","ND",XiuYue((((I39-基础页!$B$24)*基础页!$B$15/C39)),3,-1,9999)),"")</f>
        <v/>
      </c>
    </row>
    <row r="40" ht="20.25" customHeight="1" spans="1:10">
      <c r="A40" s="3"/>
      <c r="G40" s="4" t="str">
        <f>IFERROR(baoliuxiaoshuwei((E40-F40)/(E40+F40)*100,0),"")</f>
        <v/>
      </c>
      <c r="H40" s="26" t="str">
        <f t="shared" si="0"/>
        <v/>
      </c>
      <c r="I40" s="4"/>
      <c r="J40" s="4" t="str">
        <f>IFERROR(IF(I40="ND","ND",XiuYue((((I40-基础页!$B$24)*基础页!$B$15/C40)),3,-1,9999)),"")</f>
        <v/>
      </c>
    </row>
    <row r="41" ht="20.25" customHeight="1" spans="1:10">
      <c r="A41" s="3"/>
      <c r="G41" s="4" t="str">
        <f>IFERROR(baoliuxiaoshuwei((E41-F41)/(E41+F41)*100,0),"")</f>
        <v/>
      </c>
      <c r="H41" s="26" t="str">
        <f t="shared" si="0"/>
        <v/>
      </c>
      <c r="I41" s="4"/>
      <c r="J41" s="4" t="str">
        <f>IFERROR(IF(I41="ND","ND",XiuYue((((I41-基础页!$B$24)*基础页!$B$15/C41)),3,-1,9999)),"")</f>
        <v/>
      </c>
    </row>
    <row r="42" ht="20.25" customHeight="1" spans="1:10">
      <c r="A42" s="3"/>
      <c r="G42" s="4" t="str">
        <f>IFERROR(baoliuxiaoshuwei((E42-F42)/(E42+F42)*100,0),"")</f>
        <v/>
      </c>
      <c r="H42" s="26" t="str">
        <f t="shared" si="0"/>
        <v/>
      </c>
      <c r="I42" s="4"/>
      <c r="J42" s="4" t="str">
        <f>IFERROR(IF(I42="ND","ND",XiuYue((((I42-基础页!$B$24)*基础页!$B$15/C42)),3,-1,9999)),"")</f>
        <v/>
      </c>
    </row>
    <row r="43" ht="20.25" customHeight="1" spans="1:10">
      <c r="A43" s="3"/>
      <c r="G43" s="4" t="str">
        <f>IFERROR(baoliuxiaoshuwei((E43-F43)/(E43+F43)*100,0),"")</f>
        <v/>
      </c>
      <c r="H43" s="26" t="str">
        <f t="shared" si="0"/>
        <v/>
      </c>
      <c r="I43" s="4"/>
      <c r="J43" s="4" t="str">
        <f>IFERROR(IF(I43="ND","ND",XiuYue((((I43-基础页!$B$24)*基础页!$B$15/C43)),3,-1,9999)),"")</f>
        <v/>
      </c>
    </row>
    <row r="44" ht="20.25" customHeight="1" spans="1:10">
      <c r="A44" s="3"/>
      <c r="G44" s="4" t="str">
        <f>IFERROR(baoliuxiaoshuwei((E44-F44)/(E44+F44)*100,0),"")</f>
        <v/>
      </c>
      <c r="H44" s="26" t="str">
        <f t="shared" si="0"/>
        <v/>
      </c>
      <c r="I44" s="4"/>
      <c r="J44" s="4" t="str">
        <f>IFERROR(IF(I44="ND","ND",XiuYue((((I44-基础页!$B$24)*基础页!$B$15/C44)),3,-1,9999)),"")</f>
        <v/>
      </c>
    </row>
    <row r="45" ht="20.25" customHeight="1" spans="1:10">
      <c r="A45" s="3"/>
      <c r="G45" s="4" t="str">
        <f>IFERROR(baoliuxiaoshuwei((E45-F45)/(E45+F45)*100,0),"")</f>
        <v/>
      </c>
      <c r="H45" s="26" t="str">
        <f t="shared" si="0"/>
        <v/>
      </c>
      <c r="I45" s="4"/>
      <c r="J45" s="4" t="str">
        <f>IFERROR(IF(I45="ND","ND",XiuYue((((I45-基础页!$B$24)*基础页!$B$15/C45)),3,-1,9999)),"")</f>
        <v/>
      </c>
    </row>
    <row r="46" ht="20.25" customHeight="1" spans="1:10">
      <c r="A46" s="3"/>
      <c r="G46" s="4" t="str">
        <f>IFERROR(baoliuxiaoshuwei((E46-F46)/(E46+F46)*100,0),"")</f>
        <v/>
      </c>
      <c r="H46" s="26" t="str">
        <f t="shared" si="0"/>
        <v/>
      </c>
      <c r="I46" s="4"/>
      <c r="J46" s="4" t="str">
        <f>IFERROR(IF(I46="ND","ND",XiuYue((((I46-基础页!$B$24)*基础页!$B$15/C46)),3,-1,9999)),"")</f>
        <v/>
      </c>
    </row>
    <row r="47" ht="20.25" customHeight="1" spans="1:10">
      <c r="A47" s="3"/>
      <c r="G47" s="4" t="str">
        <f>IFERROR(baoliuxiaoshuwei((E47-F47)/(E47+F47)*100,0),"")</f>
        <v/>
      </c>
      <c r="H47" s="26" t="str">
        <f t="shared" si="0"/>
        <v/>
      </c>
      <c r="I47" s="4"/>
      <c r="J47" s="4" t="str">
        <f>IFERROR(IF(I47="ND","ND",XiuYue((((I47-基础页!$B$24)*基础页!$B$15/C47)),3,-1,9999)),"")</f>
        <v/>
      </c>
    </row>
    <row r="48" ht="20.25" customHeight="1" spans="1:10">
      <c r="A48" s="3"/>
      <c r="G48" s="4" t="str">
        <f>IFERROR(baoliuxiaoshuwei((E48-F48)/(E48+F48)*100,0),"")</f>
        <v/>
      </c>
      <c r="H48" s="26" t="str">
        <f t="shared" si="0"/>
        <v/>
      </c>
      <c r="I48" s="4"/>
      <c r="J48" s="4" t="str">
        <f>IFERROR(IF(I48="ND","ND",XiuYue((((I48-基础页!$B$24)*基础页!$B$15/C48)),3,-1,9999)),"")</f>
        <v/>
      </c>
    </row>
    <row r="49" ht="20.25" customHeight="1" spans="1:10">
      <c r="A49" s="3"/>
      <c r="G49" s="4" t="str">
        <f>IFERROR(baoliuxiaoshuwei((E49-F49)/(E49+F49)*100,0),"")</f>
        <v/>
      </c>
      <c r="H49" s="26" t="str">
        <f t="shared" si="0"/>
        <v/>
      </c>
      <c r="I49" s="4"/>
      <c r="J49" s="4" t="str">
        <f>IFERROR(IF(I49="ND","ND",XiuYue((((I49-基础页!$B$24)*基础页!$B$15/C49)),3,-1,9999)),"")</f>
        <v/>
      </c>
    </row>
    <row r="50" ht="20.25" customHeight="1" spans="1:10">
      <c r="A50" s="3"/>
      <c r="G50" s="4" t="str">
        <f>IFERROR(baoliuxiaoshuwei((E50-F50)/(E50+F50)*100,0),"")</f>
        <v/>
      </c>
      <c r="H50" s="26" t="str">
        <f t="shared" si="0"/>
        <v/>
      </c>
      <c r="I50" s="4"/>
      <c r="J50" s="4" t="str">
        <f>IFERROR(IF(I50="ND","ND",XiuYue((((I50-基础页!$B$24)*基础页!$B$15/C50)),3,-1,9999)),"")</f>
        <v/>
      </c>
    </row>
    <row r="51" ht="20.25" customHeight="1" spans="1:10">
      <c r="A51" s="3"/>
      <c r="G51" s="4" t="str">
        <f>IFERROR(baoliuxiaoshuwei((E51-F51)/(E51+F51)*100,0),"")</f>
        <v/>
      </c>
      <c r="H51" s="26" t="str">
        <f t="shared" si="0"/>
        <v/>
      </c>
      <c r="I51" s="4"/>
      <c r="J51" s="4" t="str">
        <f>IFERROR(IF(I51="ND","ND",XiuYue((((I51-基础页!$B$24)*基础页!$B$15/C51)),3,-1,9999)),"")</f>
        <v/>
      </c>
    </row>
    <row r="52" ht="20.25" customHeight="1" spans="1:10">
      <c r="A52" s="3"/>
      <c r="G52" s="4" t="str">
        <f>IFERROR(baoliuxiaoshuwei((E52-F52)/(E52+F52)*100,0),"")</f>
        <v/>
      </c>
      <c r="H52" s="26" t="str">
        <f t="shared" si="0"/>
        <v/>
      </c>
      <c r="I52" s="4"/>
      <c r="J52" s="4" t="str">
        <f>IFERROR(IF(I52="ND","ND",XiuYue((((I52-基础页!$B$24)*基础页!$B$15/C52)),3,-1,9999)),"")</f>
        <v/>
      </c>
    </row>
    <row r="53" ht="20.25" customHeight="1" spans="1:10">
      <c r="A53" s="3"/>
      <c r="G53" s="4" t="str">
        <f>IFERROR(baoliuxiaoshuwei((E53-F53)/(E53+F53)*100,0),"")</f>
        <v/>
      </c>
      <c r="H53" s="26" t="str">
        <f t="shared" si="0"/>
        <v/>
      </c>
      <c r="I53" s="4"/>
      <c r="J53" s="4" t="str">
        <f>IFERROR(IF(I53="ND","ND",XiuYue((((I53-基础页!$B$24)*基础页!$B$15/C53)),3,-1,9999)),"")</f>
        <v/>
      </c>
    </row>
    <row r="54" ht="20.25" customHeight="1" spans="1:10">
      <c r="A54" s="3"/>
      <c r="G54" s="4" t="str">
        <f>IFERROR(baoliuxiaoshuwei((E54-F54)/(E54+F54)*100,0),"")</f>
        <v/>
      </c>
      <c r="H54" s="26" t="str">
        <f t="shared" si="0"/>
        <v/>
      </c>
      <c r="I54" s="4"/>
      <c r="J54" s="4" t="str">
        <f>IFERROR(IF(I54="ND","ND",XiuYue((((I54-基础页!$B$24)*基础页!$B$15/C54)),3,-1,9999)),"")</f>
        <v/>
      </c>
    </row>
    <row r="55" ht="20.25" customHeight="1" spans="1:10">
      <c r="A55" s="3"/>
      <c r="G55" s="4" t="str">
        <f>IFERROR(baoliuxiaoshuwei((E55-F55)/(E55+F55)*100,0),"")</f>
        <v/>
      </c>
      <c r="H55" s="26" t="str">
        <f t="shared" si="0"/>
        <v/>
      </c>
      <c r="I55" s="4"/>
      <c r="J55" s="4" t="str">
        <f>IFERROR(IF(I55="ND","ND",XiuYue((((I55-基础页!$B$24)*基础页!$B$15/C55)),3,-1,9999)),"")</f>
        <v/>
      </c>
    </row>
    <row r="56" ht="20.25" customHeight="1" spans="1:10">
      <c r="A56" s="3"/>
      <c r="G56" s="4" t="str">
        <f>IFERROR(baoliuxiaoshuwei((E56-F56)/(E56+F56)*100,0),"")</f>
        <v/>
      </c>
      <c r="H56" s="26" t="str">
        <f t="shared" si="0"/>
        <v/>
      </c>
      <c r="I56" s="4"/>
      <c r="J56" s="4" t="str">
        <f>IFERROR(IF(I56="ND","ND",XiuYue((((I56-基础页!$B$24)*基础页!$B$15/C56)),3,-1,9999)),"")</f>
        <v/>
      </c>
    </row>
    <row r="57" ht="20.25" customHeight="1" spans="1:10">
      <c r="A57" s="3"/>
      <c r="G57" s="4" t="str">
        <f>IFERROR(baoliuxiaoshuwei((E57-F57)/(E57+F57)*100,0),"")</f>
        <v/>
      </c>
      <c r="H57" s="26" t="str">
        <f t="shared" si="0"/>
        <v/>
      </c>
      <c r="I57" s="4"/>
      <c r="J57" s="4" t="str">
        <f>IFERROR(IF(I57="ND","ND",XiuYue((((I57-基础页!$B$24)*基础页!$B$15/C57)),3,-1,9999)),"")</f>
        <v/>
      </c>
    </row>
    <row r="58" ht="20.25" customHeight="1" spans="1:10">
      <c r="A58" s="3"/>
      <c r="G58" s="4" t="str">
        <f>IFERROR(baoliuxiaoshuwei((E58-F58)/(E58+F58)*100,0),"")</f>
        <v/>
      </c>
      <c r="H58" s="26" t="str">
        <f t="shared" si="0"/>
        <v/>
      </c>
      <c r="I58" s="4"/>
      <c r="J58" s="4" t="str">
        <f>IFERROR(IF(I58="ND","ND",XiuYue((((I58-基础页!$B$24)*基础页!$B$15/C58)),3,-1,9999)),"")</f>
        <v/>
      </c>
    </row>
    <row r="59" ht="20.25" customHeight="1" spans="1:10">
      <c r="A59" s="3"/>
      <c r="G59" s="4" t="str">
        <f>IFERROR(baoliuxiaoshuwei((E59-F59)/(E59+F59)*100,0),"")</f>
        <v/>
      </c>
      <c r="H59" s="26" t="str">
        <f t="shared" si="0"/>
        <v/>
      </c>
      <c r="I59" s="4"/>
      <c r="J59" s="4" t="str">
        <f>IFERROR(IF(I59="ND","ND",XiuYue((((I59-基础页!$B$24)*基础页!$B$15/C59)),3,-1,9999)),"")</f>
        <v/>
      </c>
    </row>
    <row r="60" ht="20.25" customHeight="1" spans="1:10">
      <c r="A60" s="3"/>
      <c r="G60" s="4" t="str">
        <f>IFERROR(baoliuxiaoshuwei((E60-F60)/(E60+F60)*100,0),"")</f>
        <v/>
      </c>
      <c r="H60" s="26" t="str">
        <f t="shared" si="0"/>
        <v/>
      </c>
      <c r="I60" s="4"/>
      <c r="J60" s="4" t="str">
        <f>IFERROR(IF(I60="ND","ND",XiuYue((((I60-基础页!$B$24)*基础页!$B$15/C60)),3,-1,9999)),"")</f>
        <v/>
      </c>
    </row>
    <row r="61" ht="20.25" customHeight="1" spans="1:10">
      <c r="A61" s="3"/>
      <c r="G61" s="4" t="str">
        <f>IFERROR(baoliuxiaoshuwei((E61-F61)/(E61+F61)*100,0),"")</f>
        <v/>
      </c>
      <c r="H61" s="26" t="str">
        <f t="shared" si="0"/>
        <v/>
      </c>
      <c r="I61" s="4"/>
      <c r="J61" s="4" t="str">
        <f>IFERROR(IF(I61="ND","ND",XiuYue((((I61-基础页!$B$24)*基础页!$B$15/C61)),3,-1,9999)),"")</f>
        <v/>
      </c>
    </row>
    <row r="62" ht="20.25" customHeight="1" spans="1:10">
      <c r="A62" s="3"/>
      <c r="G62" s="4" t="str">
        <f>IFERROR(baoliuxiaoshuwei((E62-F62)/(E62+F62)*100,0),"")</f>
        <v/>
      </c>
      <c r="H62" s="26" t="str">
        <f t="shared" si="0"/>
        <v/>
      </c>
      <c r="I62" s="4"/>
      <c r="J62" s="4" t="str">
        <f>IFERROR(IF(I62="ND","ND",XiuYue((((I62-基础页!$B$24)*基础页!$B$15/C62)),3,-1,9999)),"")</f>
        <v/>
      </c>
    </row>
    <row r="63" ht="20.25" customHeight="1" spans="1:10">
      <c r="A63" s="3"/>
      <c r="G63" s="4" t="str">
        <f>IFERROR(baoliuxiaoshuwei((E63-F63)/(E63+F63)*100,0),"")</f>
        <v/>
      </c>
      <c r="H63" s="26" t="str">
        <f t="shared" si="0"/>
        <v/>
      </c>
      <c r="I63" s="4"/>
      <c r="J63" s="4" t="str">
        <f>IFERROR(IF(I63="ND","ND",XiuYue((((I63-基础页!$B$24)*基础页!$B$15/C63)),3,-1,9999)),"")</f>
        <v/>
      </c>
    </row>
    <row r="64" ht="20.25" customHeight="1" spans="1:10">
      <c r="A64" s="3"/>
      <c r="G64" s="4" t="str">
        <f>IFERROR(baoliuxiaoshuwei((E64-F64)/(E64+F64)*100,0),"")</f>
        <v/>
      </c>
      <c r="H64" s="26" t="str">
        <f t="shared" si="0"/>
        <v/>
      </c>
      <c r="I64" s="4"/>
      <c r="J64" s="4" t="str">
        <f>IFERROR(IF(I64="ND","ND",XiuYue((((I64-基础页!$B$24)*基础页!$B$15/C64)),3,-1,9999)),"")</f>
        <v/>
      </c>
    </row>
    <row r="65" ht="20.25" customHeight="1" spans="1:10">
      <c r="A65" s="3"/>
      <c r="G65" s="4" t="str">
        <f>IFERROR(baoliuxiaoshuwei((E65-F65)/(E65+F65)*100,0),"")</f>
        <v/>
      </c>
      <c r="H65" s="26" t="str">
        <f t="shared" si="0"/>
        <v/>
      </c>
      <c r="I65" s="4"/>
      <c r="J65" s="4" t="str">
        <f>IFERROR(IF(I65="ND","ND",XiuYue((((I65-基础页!$B$24)*基础页!$B$15/C65)),3,-1,9999)),"")</f>
        <v/>
      </c>
    </row>
    <row r="66" ht="20.25" customHeight="1" spans="1:10">
      <c r="A66" s="3"/>
      <c r="G66" s="4" t="str">
        <f>IFERROR(baoliuxiaoshuwei((E66-F66)/(E66+F66)*100,0),"")</f>
        <v/>
      </c>
      <c r="H66" s="26" t="str">
        <f t="shared" si="0"/>
        <v/>
      </c>
      <c r="I66" s="4"/>
      <c r="J66" s="4" t="str">
        <f>IFERROR(IF(I66="ND","ND",XiuYue((((I66-基础页!$B$24)*基础页!$B$15/C66)),3,-1,9999)),"")</f>
        <v/>
      </c>
    </row>
    <row r="67" ht="20.25" customHeight="1" spans="1:10">
      <c r="A67" s="3"/>
      <c r="G67" s="4" t="str">
        <f>IFERROR(baoliuxiaoshuwei((E67-F67)/(E67+F67)*100,0),"")</f>
        <v/>
      </c>
      <c r="H67" s="26" t="str">
        <f t="shared" si="0"/>
        <v/>
      </c>
      <c r="I67" s="4"/>
      <c r="J67" s="4" t="str">
        <f>IFERROR(IF(I67="ND","ND",XiuYue((((I67-基础页!$B$24)*基础页!$B$15/C67)),3,-1,9999)),"")</f>
        <v/>
      </c>
    </row>
    <row r="68" ht="20.25" customHeight="1" spans="1:10">
      <c r="A68" s="3"/>
      <c r="G68" s="4" t="str">
        <f>IFERROR(baoliuxiaoshuwei((E68-F68)/(E68+F68)*100,0),"")</f>
        <v/>
      </c>
      <c r="H68" s="26" t="str">
        <f t="shared" si="0"/>
        <v/>
      </c>
      <c r="I68" s="4"/>
      <c r="J68" s="4" t="str">
        <f>IFERROR(IF(I68="ND","ND",XiuYue((((I68-基础页!$B$24)*基础页!$B$15/C68)),3,-1,9999)),"")</f>
        <v/>
      </c>
    </row>
    <row r="69" ht="20.25" customHeight="1" spans="1:10">
      <c r="A69" s="3"/>
      <c r="G69" s="4" t="str">
        <f>IFERROR(baoliuxiaoshuwei((E69-F69)/(E69+F69)*100,0),"")</f>
        <v/>
      </c>
      <c r="H69" s="26" t="str">
        <f t="shared" si="0"/>
        <v/>
      </c>
      <c r="I69" s="4"/>
      <c r="J69" s="4" t="str">
        <f>IFERROR(IF(I69="ND","ND",XiuYue((((I69-基础页!$B$24)*基础页!$B$15/C69)),3,-1,9999)),"")</f>
        <v/>
      </c>
    </row>
    <row r="70" ht="20.25" customHeight="1" spans="1:10">
      <c r="A70" s="3"/>
      <c r="G70" s="4" t="str">
        <f>IFERROR(baoliuxiaoshuwei((E70-F70)/(E70+F70)*100,0),"")</f>
        <v/>
      </c>
      <c r="H70" s="26" t="str">
        <f t="shared" ref="H70:H133" si="1">IFERROR(IF(ISBLANK(I70),"",IF(J70="ND","否","是")),"")</f>
        <v/>
      </c>
      <c r="I70" s="4"/>
      <c r="J70" s="4" t="str">
        <f>IFERROR(IF(I70="ND","ND",XiuYue((((I70-基础页!$B$24)*基础页!$B$15/C70)),3,-1,9999)),"")</f>
        <v/>
      </c>
    </row>
    <row r="71" ht="20.25" customHeight="1" spans="1:10">
      <c r="A71" s="3"/>
      <c r="G71" s="4" t="str">
        <f>IFERROR(baoliuxiaoshuwei((E71-F71)/(E71+F71)*100,0),"")</f>
        <v/>
      </c>
      <c r="H71" s="26" t="str">
        <f t="shared" si="1"/>
        <v/>
      </c>
      <c r="I71" s="4"/>
      <c r="J71" s="4" t="str">
        <f>IFERROR(IF(I71="ND","ND",XiuYue((((I71-基础页!$B$24)*基础页!$B$15/C71)),3,-1,9999)),"")</f>
        <v/>
      </c>
    </row>
    <row r="72" ht="20.25" customHeight="1" spans="7:10">
      <c r="G72" s="4" t="str">
        <f>IFERROR(baoliuxiaoshuwei((E72-F72)/(E72+F72)*100,0),"")</f>
        <v/>
      </c>
      <c r="H72" s="26" t="str">
        <f t="shared" si="1"/>
        <v/>
      </c>
      <c r="I72" s="4"/>
      <c r="J72" s="4" t="str">
        <f>IFERROR(IF(I72="ND","ND",XiuYue((((I72-基础页!$B$24)*基础页!$B$15/C72)),3,-1,9999)),"")</f>
        <v/>
      </c>
    </row>
    <row r="73" ht="20.25" customHeight="1" spans="7:10">
      <c r="G73" s="4" t="str">
        <f>IFERROR(baoliuxiaoshuwei((E73-F73)/(E73+F73)*100,0),"")</f>
        <v/>
      </c>
      <c r="H73" s="26" t="str">
        <f t="shared" si="1"/>
        <v/>
      </c>
      <c r="I73" s="4"/>
      <c r="J73" s="4" t="str">
        <f>IFERROR(IF(I73="ND","ND",XiuYue((((I73-基础页!$B$24)*基础页!$B$15/C73)),3,-1,9999)),"")</f>
        <v/>
      </c>
    </row>
    <row r="74" ht="20.25" customHeight="1" spans="7:10">
      <c r="G74" s="4" t="str">
        <f>IFERROR(baoliuxiaoshuwei((E74-F74)/(E74+F74)*100,0),"")</f>
        <v/>
      </c>
      <c r="H74" s="26" t="str">
        <f t="shared" si="1"/>
        <v/>
      </c>
      <c r="I74" s="4"/>
      <c r="J74" s="4" t="str">
        <f>IFERROR(IF(I74="ND","ND",XiuYue((((I74-基础页!$B$24)*基础页!$B$15/C74)),3,-1,9999)),"")</f>
        <v/>
      </c>
    </row>
    <row r="75" ht="20.25" customHeight="1" spans="7:10">
      <c r="G75" s="4" t="str">
        <f>IFERROR(baoliuxiaoshuwei((E75-F75)/(E75+F75)*100,0),"")</f>
        <v/>
      </c>
      <c r="H75" s="26" t="str">
        <f t="shared" si="1"/>
        <v/>
      </c>
      <c r="I75" s="4"/>
      <c r="J75" s="4" t="str">
        <f>IFERROR(IF(I75="ND","ND",XiuYue((((I75-基础页!$B$24)*基础页!$B$15/C75)),3,-1,9999)),"")</f>
        <v/>
      </c>
    </row>
    <row r="76" ht="20.25" customHeight="1" spans="7:10">
      <c r="G76" s="4" t="str">
        <f>IFERROR(baoliuxiaoshuwei((E76-F76)/(E76+F76)*100,0),"")</f>
        <v/>
      </c>
      <c r="H76" s="26" t="str">
        <f t="shared" si="1"/>
        <v/>
      </c>
      <c r="I76" s="4"/>
      <c r="J76" s="4" t="str">
        <f>IFERROR(IF(I76="ND","ND",XiuYue((((I76-基础页!$B$24)*基础页!$B$15/C76)),3,-1,9999)),"")</f>
        <v/>
      </c>
    </row>
    <row r="77" ht="20.25" customHeight="1" spans="7:10">
      <c r="G77" s="4" t="str">
        <f>IFERROR(baoliuxiaoshuwei((E77-F77)/(E77+F77)*100,0),"")</f>
        <v/>
      </c>
      <c r="H77" s="26" t="str">
        <f t="shared" si="1"/>
        <v/>
      </c>
      <c r="I77" s="4"/>
      <c r="J77" s="4" t="str">
        <f>IFERROR(IF(I77="ND","ND",XiuYue((((I77-基础页!$B$24)*基础页!$B$15/C77)),3,-1,9999)),"")</f>
        <v/>
      </c>
    </row>
    <row r="78" ht="20.25" customHeight="1" spans="7:10">
      <c r="G78" s="4" t="str">
        <f>IFERROR(baoliuxiaoshuwei((E78-F78)/(E78+F78)*100,0),"")</f>
        <v/>
      </c>
      <c r="H78" s="26" t="str">
        <f t="shared" si="1"/>
        <v/>
      </c>
      <c r="I78" s="4"/>
      <c r="J78" s="4" t="str">
        <f>IFERROR(IF(I78="ND","ND",XiuYue((((I78-基础页!$B$24)*基础页!$B$15/C78)),3,-1,9999)),"")</f>
        <v/>
      </c>
    </row>
    <row r="79" ht="20.25" customHeight="1" spans="7:10">
      <c r="G79" s="4" t="str">
        <f>IFERROR(baoliuxiaoshuwei((E79-F79)/(E79+F79)*100,0),"")</f>
        <v/>
      </c>
      <c r="H79" s="26" t="str">
        <f t="shared" si="1"/>
        <v/>
      </c>
      <c r="I79" s="4"/>
      <c r="J79" s="4" t="str">
        <f>IFERROR(IF(I79="ND","ND",XiuYue((((I79-基础页!$B$24)*基础页!$B$15/C79)),3,-1,9999)),"")</f>
        <v/>
      </c>
    </row>
    <row r="80" ht="20.25" customHeight="1" spans="7:10">
      <c r="G80" s="4" t="str">
        <f>IFERROR(baoliuxiaoshuwei((E80-F80)/(E80+F80)*100,0),"")</f>
        <v/>
      </c>
      <c r="H80" s="26" t="str">
        <f t="shared" si="1"/>
        <v/>
      </c>
      <c r="I80" s="4"/>
      <c r="J80" s="4" t="str">
        <f>IFERROR(IF(I80="ND","ND",XiuYue((((I80-基础页!$B$24)*基础页!$B$15/C80)),3,-1,9999)),"")</f>
        <v/>
      </c>
    </row>
    <row r="81" ht="20.25" customHeight="1" spans="7:10">
      <c r="G81" s="4" t="str">
        <f>IFERROR(baoliuxiaoshuwei((E81-F81)/(E81+F81)*100,0),"")</f>
        <v/>
      </c>
      <c r="H81" s="26" t="str">
        <f t="shared" si="1"/>
        <v/>
      </c>
      <c r="I81" s="4"/>
      <c r="J81" s="4" t="str">
        <f>IFERROR(IF(I81="ND","ND",XiuYue((((I81-基础页!$B$24)*基础页!$B$15/C81)),3,-1,9999)),"")</f>
        <v/>
      </c>
    </row>
    <row r="82" ht="20.25" customHeight="1" spans="7:10">
      <c r="G82" s="4" t="str">
        <f>IFERROR(baoliuxiaoshuwei((E82-F82)/(E82+F82)*100,0),"")</f>
        <v/>
      </c>
      <c r="H82" s="26" t="str">
        <f t="shared" si="1"/>
        <v/>
      </c>
      <c r="I82" s="4"/>
      <c r="J82" s="4" t="str">
        <f>IFERROR(IF(I82="ND","ND",XiuYue((((I82-基础页!$B$24)*基础页!$B$15/C82)),3,-1,9999)),"")</f>
        <v/>
      </c>
    </row>
    <row r="83" ht="20.25" customHeight="1" spans="7:10">
      <c r="G83" s="4" t="str">
        <f>IFERROR(baoliuxiaoshuwei((E83-F83)/(E83+F83)*100,0),"")</f>
        <v/>
      </c>
      <c r="H83" s="26" t="str">
        <f t="shared" si="1"/>
        <v/>
      </c>
      <c r="I83" s="4"/>
      <c r="J83" s="4" t="str">
        <f>IFERROR(IF(I83="ND","ND",XiuYue((((I83-基础页!$B$24)*基础页!$B$15/C83)),3,-1,9999)),"")</f>
        <v/>
      </c>
    </row>
    <row r="84" ht="20.25" customHeight="1" spans="7:10">
      <c r="G84" s="4" t="str">
        <f>IFERROR(baoliuxiaoshuwei((E84-F84)/(E84+F84)*100,0),"")</f>
        <v/>
      </c>
      <c r="H84" s="26" t="str">
        <f t="shared" si="1"/>
        <v/>
      </c>
      <c r="I84" s="4"/>
      <c r="J84" s="4" t="str">
        <f>IFERROR(IF(I84="ND","ND",XiuYue((((I84-基础页!$B$24)*基础页!$B$15/C84)),3,-1,9999)),"")</f>
        <v/>
      </c>
    </row>
    <row r="85" ht="20.25" customHeight="1" spans="7:10">
      <c r="G85" s="4" t="str">
        <f>IFERROR(baoliuxiaoshuwei((E85-F85)/(E85+F85)*100,0),"")</f>
        <v/>
      </c>
      <c r="H85" s="26" t="str">
        <f t="shared" si="1"/>
        <v/>
      </c>
      <c r="I85" s="4"/>
      <c r="J85" s="4" t="str">
        <f>IFERROR(IF(I85="ND","ND",XiuYue((((I85-基础页!$B$24)*基础页!$B$15/C85)),3,-1,9999)),"")</f>
        <v/>
      </c>
    </row>
    <row r="86" ht="20.25" customHeight="1" spans="7:10">
      <c r="G86" s="4" t="str">
        <f>IFERROR(baoliuxiaoshuwei((E86-F86)/(E86+F86)*100,0),"")</f>
        <v/>
      </c>
      <c r="H86" s="26" t="str">
        <f t="shared" si="1"/>
        <v/>
      </c>
      <c r="I86" s="4"/>
      <c r="J86" s="4" t="str">
        <f>IFERROR(IF(I86="ND","ND",XiuYue((((I86-基础页!$B$24)*基础页!$B$15/C86)),3,-1,9999)),"")</f>
        <v/>
      </c>
    </row>
    <row r="87" ht="20.25" customHeight="1" spans="7:10">
      <c r="G87" s="4" t="str">
        <f>IFERROR(baoliuxiaoshuwei((E87-F87)/(E87+F87)*100,0),"")</f>
        <v/>
      </c>
      <c r="H87" s="26" t="str">
        <f t="shared" si="1"/>
        <v/>
      </c>
      <c r="I87" s="4"/>
      <c r="J87" s="4" t="str">
        <f>IFERROR(IF(I87="ND","ND",XiuYue((((I87-基础页!$B$24)*基础页!$B$15/C87)),3,-1,9999)),"")</f>
        <v/>
      </c>
    </row>
    <row r="88" ht="20.25" customHeight="1" spans="7:10">
      <c r="G88" s="4" t="str">
        <f>IFERROR(baoliuxiaoshuwei((E88-F88)/(E88+F88)*100,0),"")</f>
        <v/>
      </c>
      <c r="H88" s="26" t="str">
        <f t="shared" si="1"/>
        <v/>
      </c>
      <c r="I88" s="4"/>
      <c r="J88" s="4" t="str">
        <f>IFERROR(IF(I88="ND","ND",XiuYue((((I88-基础页!$B$24)*基础页!$B$15/C88)),3,-1,9999)),"")</f>
        <v/>
      </c>
    </row>
    <row r="89" ht="20.25" customHeight="1" spans="7:10">
      <c r="G89" s="4" t="str">
        <f>IFERROR(baoliuxiaoshuwei((E89-F89)/(E89+F89)*100,0),"")</f>
        <v/>
      </c>
      <c r="H89" s="26" t="str">
        <f t="shared" si="1"/>
        <v/>
      </c>
      <c r="I89" s="4"/>
      <c r="J89" s="4" t="str">
        <f>IFERROR(IF(I89="ND","ND",XiuYue((((I89-基础页!$B$24)*基础页!$B$15/C89)),3,-1,9999)),"")</f>
        <v/>
      </c>
    </row>
    <row r="90" ht="20.25" customHeight="1" spans="7:10">
      <c r="G90" s="4" t="str">
        <f>IFERROR(baoliuxiaoshuwei((E90-F90)/(E90+F90)*100,0),"")</f>
        <v/>
      </c>
      <c r="H90" s="26" t="str">
        <f t="shared" si="1"/>
        <v/>
      </c>
      <c r="I90" s="4"/>
      <c r="J90" s="4" t="str">
        <f>IFERROR(IF(I90="ND","ND",XiuYue((((I90-基础页!$B$24)*基础页!$B$15/C90)),3,-1,9999)),"")</f>
        <v/>
      </c>
    </row>
    <row r="91" ht="20.25" customHeight="1" spans="7:10">
      <c r="G91" s="4" t="str">
        <f>IFERROR(baoliuxiaoshuwei((E91-F91)/(E91+F91)*100,0),"")</f>
        <v/>
      </c>
      <c r="H91" s="26" t="str">
        <f t="shared" si="1"/>
        <v/>
      </c>
      <c r="I91" s="4"/>
      <c r="J91" s="4" t="str">
        <f>IFERROR(IF(I91="ND","ND",XiuYue((((I91-基础页!$B$24)*基础页!$B$15/C91)),3,-1,9999)),"")</f>
        <v/>
      </c>
    </row>
    <row r="92" ht="20.25" customHeight="1" spans="7:10">
      <c r="G92" s="4" t="str">
        <f>IFERROR(baoliuxiaoshuwei((E92-F92)/(E92+F92)*100,0),"")</f>
        <v/>
      </c>
      <c r="H92" s="26" t="str">
        <f t="shared" si="1"/>
        <v/>
      </c>
      <c r="I92" s="4"/>
      <c r="J92" s="4" t="str">
        <f>IFERROR(IF(I92="ND","ND",XiuYue((((I92-基础页!$B$24)*基础页!$B$15/C92)),3,-1,9999)),"")</f>
        <v/>
      </c>
    </row>
    <row r="93" ht="20.25" customHeight="1" spans="7:10">
      <c r="G93" s="4" t="str">
        <f>IFERROR(baoliuxiaoshuwei((E93-F93)/(E93+F93)*100,0),"")</f>
        <v/>
      </c>
      <c r="H93" s="26" t="str">
        <f t="shared" si="1"/>
        <v/>
      </c>
      <c r="I93" s="4"/>
      <c r="J93" s="4" t="str">
        <f>IFERROR(IF(I93="ND","ND",XiuYue((((I93-基础页!$B$24)*基础页!$B$15/C93)),3,-1,9999)),"")</f>
        <v/>
      </c>
    </row>
    <row r="94" ht="20.25" customHeight="1" spans="7:10">
      <c r="G94" s="4" t="str">
        <f>IFERROR(baoliuxiaoshuwei((E94-F94)/(E94+F94)*100,0),"")</f>
        <v/>
      </c>
      <c r="H94" s="26" t="str">
        <f t="shared" si="1"/>
        <v/>
      </c>
      <c r="I94" s="4"/>
      <c r="J94" s="4" t="str">
        <f>IFERROR(IF(I94="ND","ND",XiuYue((((I94-基础页!$B$24)*基础页!$B$15/C94)),3,-1,9999)),"")</f>
        <v/>
      </c>
    </row>
    <row r="95" ht="20.25" customHeight="1" spans="7:10">
      <c r="G95" s="4" t="str">
        <f>IFERROR(baoliuxiaoshuwei((E95-F95)/(E95+F95)*100,0),"")</f>
        <v/>
      </c>
      <c r="H95" s="26" t="str">
        <f t="shared" si="1"/>
        <v/>
      </c>
      <c r="I95" s="4"/>
      <c r="J95" s="4" t="str">
        <f>IFERROR(IF(I95="ND","ND",XiuYue((((I95-基础页!$B$24)*基础页!$B$15/C95)),3,-1,9999)),"")</f>
        <v/>
      </c>
    </row>
    <row r="96" ht="20.25" customHeight="1" spans="7:10">
      <c r="G96" s="4" t="str">
        <f>IFERROR(baoliuxiaoshuwei((E96-F96)/(E96+F96)*100,0),"")</f>
        <v/>
      </c>
      <c r="H96" s="26" t="str">
        <f t="shared" si="1"/>
        <v/>
      </c>
      <c r="I96" s="4"/>
      <c r="J96" s="4" t="str">
        <f>IFERROR(IF(I96="ND","ND",XiuYue((((I96-基础页!$B$24)*基础页!$B$15/C96)),3,-1,9999)),"")</f>
        <v/>
      </c>
    </row>
    <row r="97" ht="20.25" customHeight="1" spans="7:10">
      <c r="G97" s="4" t="str">
        <f>IFERROR(baoliuxiaoshuwei((E97-F97)/(E97+F97)*100,0),"")</f>
        <v/>
      </c>
      <c r="H97" s="26" t="str">
        <f t="shared" si="1"/>
        <v/>
      </c>
      <c r="I97" s="4"/>
      <c r="J97" s="4" t="str">
        <f>IFERROR(IF(I97="ND","ND",XiuYue((((I97-基础页!$B$24)*基础页!$B$15/C97)),3,-1,9999)),"")</f>
        <v/>
      </c>
    </row>
    <row r="98" ht="20.25" customHeight="1" spans="7:10">
      <c r="G98" s="4" t="str">
        <f>IFERROR(baoliuxiaoshuwei((E98-F98)/(E98+F98)*100,0),"")</f>
        <v/>
      </c>
      <c r="H98" s="26" t="str">
        <f t="shared" si="1"/>
        <v/>
      </c>
      <c r="I98" s="4"/>
      <c r="J98" s="4" t="str">
        <f>IFERROR(IF(I98="ND","ND",XiuYue((((I98-基础页!$B$24)*基础页!$B$15/C98)),3,-1,9999)),"")</f>
        <v/>
      </c>
    </row>
    <row r="99" ht="20.25" customHeight="1" spans="7:10">
      <c r="G99" s="4" t="str">
        <f>IFERROR(baoliuxiaoshuwei((E99-F99)/(E99+F99)*100,0),"")</f>
        <v/>
      </c>
      <c r="H99" s="26" t="str">
        <f t="shared" si="1"/>
        <v/>
      </c>
      <c r="I99" s="4"/>
      <c r="J99" s="4" t="str">
        <f>IFERROR(IF(I99="ND","ND",XiuYue((((I99-基础页!$B$24)*基础页!$B$15/C99)),3,-1,9999)),"")</f>
        <v/>
      </c>
    </row>
    <row r="100" ht="20.25" customHeight="1" spans="7:10">
      <c r="G100" s="4" t="str">
        <f>IFERROR(baoliuxiaoshuwei((E100-F100)/(E100+F100)*100,0),"")</f>
        <v/>
      </c>
      <c r="H100" s="26" t="str">
        <f t="shared" si="1"/>
        <v/>
      </c>
      <c r="I100" s="4"/>
      <c r="J100" s="4" t="str">
        <f>IFERROR(IF(I100="ND","ND",XiuYue((((I100-基础页!$B$24)*基础页!$B$15/C100)),3,-1,9999)),"")</f>
        <v/>
      </c>
    </row>
    <row r="101" ht="20.25" customHeight="1" spans="7:10">
      <c r="G101" s="4" t="str">
        <f>IFERROR(baoliuxiaoshuwei((E101-F101)/(E101+F101)*100,0),"")</f>
        <v/>
      </c>
      <c r="H101" s="26" t="str">
        <f t="shared" si="1"/>
        <v/>
      </c>
      <c r="I101" s="4"/>
      <c r="J101" s="4" t="str">
        <f>IFERROR(IF(I101="ND","ND",XiuYue((((I101-基础页!$B$24)*基础页!$B$15/C101)),3,-1,9999)),"")</f>
        <v/>
      </c>
    </row>
    <row r="102" ht="20.25" customHeight="1" spans="7:10">
      <c r="G102" s="4" t="str">
        <f>IFERROR(baoliuxiaoshuwei((E102-F102)/(E102+F102)*100,0),"")</f>
        <v/>
      </c>
      <c r="H102" s="26" t="str">
        <f t="shared" si="1"/>
        <v/>
      </c>
      <c r="I102" s="4"/>
      <c r="J102" s="4" t="str">
        <f>IFERROR(IF(I102="ND","ND",XiuYue((((I102-基础页!$B$24)*基础页!$B$15/C102)),3,-1,9999)),"")</f>
        <v/>
      </c>
    </row>
    <row r="103" ht="20.25" customHeight="1" spans="7:10">
      <c r="G103" s="4" t="str">
        <f>IFERROR(baoliuxiaoshuwei((E103-F103)/(E103+F103)*100,0),"")</f>
        <v/>
      </c>
      <c r="H103" s="26" t="str">
        <f t="shared" si="1"/>
        <v/>
      </c>
      <c r="I103" s="4"/>
      <c r="J103" s="4" t="str">
        <f>IFERROR(IF(I103="ND","ND",XiuYue((((I103-基础页!$B$24)*基础页!$B$15/C103)),3,-1,9999)),"")</f>
        <v/>
      </c>
    </row>
    <row r="104" ht="20.25" customHeight="1" spans="7:10">
      <c r="G104" s="4" t="str">
        <f>IFERROR(baoliuxiaoshuwei((E104-F104)/(E104+F104)*100,0),"")</f>
        <v/>
      </c>
      <c r="H104" s="26" t="str">
        <f t="shared" si="1"/>
        <v/>
      </c>
      <c r="I104" s="4"/>
      <c r="J104" s="4" t="str">
        <f>IFERROR(IF(I104="ND","ND",XiuYue((((I104-基础页!$B$24)*基础页!$B$15/C104)),3,-1,9999)),"")</f>
        <v/>
      </c>
    </row>
    <row r="105" ht="20.25" customHeight="1" spans="7:10">
      <c r="G105" s="4" t="str">
        <f>IFERROR(baoliuxiaoshuwei((E105-F105)/(E105+F105)*100,0),"")</f>
        <v/>
      </c>
      <c r="H105" s="26" t="str">
        <f t="shared" si="1"/>
        <v/>
      </c>
      <c r="I105" s="4"/>
      <c r="J105" s="4" t="str">
        <f>IFERROR(IF(I105="ND","ND",XiuYue((((I105-基础页!$B$24)*基础页!$B$15/C105)),3,-1,9999)),"")</f>
        <v/>
      </c>
    </row>
    <row r="106" ht="20.25" customHeight="1" spans="7:10">
      <c r="G106" s="4" t="str">
        <f>IFERROR(baoliuxiaoshuwei((E106-F106)/(E106+F106)*100,0),"")</f>
        <v/>
      </c>
      <c r="H106" s="26" t="str">
        <f t="shared" si="1"/>
        <v/>
      </c>
      <c r="I106" s="4"/>
      <c r="J106" s="4" t="str">
        <f>IFERROR(IF(I106="ND","ND",XiuYue((((I106-基础页!$B$24)*基础页!$B$15/C106)),3,-1,9999)),"")</f>
        <v/>
      </c>
    </row>
    <row r="107" ht="20.25" customHeight="1" spans="7:10">
      <c r="G107" s="4" t="str">
        <f>IFERROR(baoliuxiaoshuwei((E107-F107)/(E107+F107)*100,0),"")</f>
        <v/>
      </c>
      <c r="H107" s="26" t="str">
        <f t="shared" si="1"/>
        <v/>
      </c>
      <c r="I107" s="4"/>
      <c r="J107" s="4" t="str">
        <f>IFERROR(IF(I107="ND","ND",XiuYue((((I107-基础页!$B$24)*基础页!$B$15/C107)),3,-1,9999)),"")</f>
        <v/>
      </c>
    </row>
    <row r="108" ht="20.25" customHeight="1" spans="7:10">
      <c r="G108" s="4" t="str">
        <f>IFERROR(baoliuxiaoshuwei((E108-F108)/(E108+F108)*100,0),"")</f>
        <v/>
      </c>
      <c r="H108" s="26" t="str">
        <f t="shared" si="1"/>
        <v/>
      </c>
      <c r="I108" s="4"/>
      <c r="J108" s="4" t="str">
        <f>IFERROR(IF(I108="ND","ND",XiuYue((((I108-基础页!$B$24)*基础页!$B$15/C108)),3,-1,9999)),"")</f>
        <v/>
      </c>
    </row>
    <row r="109" ht="20.25" customHeight="1" spans="7:10">
      <c r="G109" s="4" t="str">
        <f>IFERROR(baoliuxiaoshuwei((E109-F109)/(E109+F109)*100,0),"")</f>
        <v/>
      </c>
      <c r="H109" s="26" t="str">
        <f t="shared" si="1"/>
        <v/>
      </c>
      <c r="I109" s="4"/>
      <c r="J109" s="4" t="str">
        <f>IFERROR(IF(I109="ND","ND",XiuYue((((I109-基础页!$B$24)*基础页!$B$15/C109)),3,-1,9999)),"")</f>
        <v/>
      </c>
    </row>
    <row r="110" ht="20.25" customHeight="1" spans="7:10">
      <c r="G110" s="4" t="str">
        <f>IFERROR(baoliuxiaoshuwei((E110-F110)/(E110+F110)*100,0),"")</f>
        <v/>
      </c>
      <c r="H110" s="26" t="str">
        <f t="shared" si="1"/>
        <v/>
      </c>
      <c r="I110" s="4"/>
      <c r="J110" s="4" t="str">
        <f>IFERROR(IF(I110="ND","ND",XiuYue((((I110-基础页!$B$24)*基础页!$B$15/C110)),3,-1,9999)),"")</f>
        <v/>
      </c>
    </row>
    <row r="111" ht="20.25" customHeight="1" spans="7:10">
      <c r="G111" s="4" t="str">
        <f>IFERROR(baoliuxiaoshuwei((E111-F111)/(E111+F111)*100,0),"")</f>
        <v/>
      </c>
      <c r="H111" s="26" t="str">
        <f t="shared" si="1"/>
        <v/>
      </c>
      <c r="I111" s="4"/>
      <c r="J111" s="4" t="str">
        <f>IFERROR(IF(I111="ND","ND",XiuYue((((I111-基础页!$B$24)*基础页!$B$15/C111)),3,-1,9999)),"")</f>
        <v/>
      </c>
    </row>
    <row r="112" ht="20.25" customHeight="1" spans="7:10">
      <c r="G112" s="4" t="str">
        <f>IFERROR(baoliuxiaoshuwei((E112-F112)/(E112+F112)*100,0),"")</f>
        <v/>
      </c>
      <c r="H112" s="26" t="str">
        <f t="shared" si="1"/>
        <v/>
      </c>
      <c r="I112" s="4"/>
      <c r="J112" s="4" t="str">
        <f>IFERROR(IF(I112="ND","ND",XiuYue((((I112-基础页!$B$24)*基础页!$B$15/C112)),3,-1,9999)),"")</f>
        <v/>
      </c>
    </row>
    <row r="113" ht="20.25" customHeight="1" spans="7:10">
      <c r="G113" s="4" t="str">
        <f>IFERROR(baoliuxiaoshuwei((E113-F113)/(E113+F113)*100,0),"")</f>
        <v/>
      </c>
      <c r="H113" s="26" t="str">
        <f t="shared" si="1"/>
        <v/>
      </c>
      <c r="I113" s="4"/>
      <c r="J113" s="4" t="str">
        <f>IFERROR(IF(I113="ND","ND",XiuYue((((I113-基础页!$B$24)*基础页!$B$15/C113)),3,-1,9999)),"")</f>
        <v/>
      </c>
    </row>
    <row r="114" ht="20.25" customHeight="1" spans="7:10">
      <c r="G114" s="4" t="str">
        <f>IFERROR(baoliuxiaoshuwei((E114-F114)/(E114+F114)*100,0),"")</f>
        <v/>
      </c>
      <c r="H114" s="26" t="str">
        <f t="shared" si="1"/>
        <v/>
      </c>
      <c r="I114" s="4"/>
      <c r="J114" s="4" t="str">
        <f>IFERROR(IF(I114="ND","ND",XiuYue((((I114-基础页!$B$24)*基础页!$B$15/C114)),3,-1,9999)),"")</f>
        <v/>
      </c>
    </row>
    <row r="115" ht="20.25" customHeight="1" spans="7:10">
      <c r="G115" s="4" t="str">
        <f>IFERROR(baoliuxiaoshuwei((E115-F115)/(E115+F115)*100,0),"")</f>
        <v/>
      </c>
      <c r="H115" s="26" t="str">
        <f t="shared" si="1"/>
        <v/>
      </c>
      <c r="I115" s="4"/>
      <c r="J115" s="4" t="str">
        <f>IFERROR(IF(I115="ND","ND",XiuYue((((I115-基础页!$B$24)*基础页!$B$15/C115)),3,-1,9999)),"")</f>
        <v/>
      </c>
    </row>
    <row r="116" ht="20.25" customHeight="1" spans="7:10">
      <c r="G116" s="4" t="str">
        <f>IFERROR(baoliuxiaoshuwei((E116-F116)/(E116+F116)*100,0),"")</f>
        <v/>
      </c>
      <c r="H116" s="26" t="str">
        <f t="shared" si="1"/>
        <v/>
      </c>
      <c r="I116" s="4"/>
      <c r="J116" s="4" t="str">
        <f>IFERROR(IF(I116="ND","ND",XiuYue((((I116-基础页!$B$24)*基础页!$B$15/C116)),3,-1,9999)),"")</f>
        <v/>
      </c>
    </row>
    <row r="117" ht="20.25" customHeight="1" spans="7:10">
      <c r="G117" s="4" t="str">
        <f>IFERROR(baoliuxiaoshuwei((E117-F117)/(E117+F117)*100,0),"")</f>
        <v/>
      </c>
      <c r="H117" s="26" t="str">
        <f t="shared" si="1"/>
        <v/>
      </c>
      <c r="I117" s="4"/>
      <c r="J117" s="4" t="str">
        <f>IFERROR(IF(I117="ND","ND",XiuYue((((I117-基础页!$B$24)*基础页!$B$15/C117)),3,-1,9999)),"")</f>
        <v/>
      </c>
    </row>
    <row r="118" ht="20.25" customHeight="1" spans="7:10">
      <c r="G118" s="4" t="str">
        <f>IFERROR(baoliuxiaoshuwei((E118-F118)/(E118+F118)*100,0),"")</f>
        <v/>
      </c>
      <c r="H118" s="26" t="str">
        <f t="shared" si="1"/>
        <v/>
      </c>
      <c r="I118" s="4"/>
      <c r="J118" s="4" t="str">
        <f>IFERROR(IF(I118="ND","ND",XiuYue((((I118-基础页!$B$24)*基础页!$B$15/C118)),3,-1,9999)),"")</f>
        <v/>
      </c>
    </row>
    <row r="119" ht="20.25" customHeight="1" spans="7:10">
      <c r="G119" s="4" t="str">
        <f>IFERROR(baoliuxiaoshuwei((E119-F119)/(E119+F119)*100,0),"")</f>
        <v/>
      </c>
      <c r="H119" s="26" t="str">
        <f t="shared" si="1"/>
        <v/>
      </c>
      <c r="I119" s="4"/>
      <c r="J119" s="4" t="str">
        <f>IFERROR(IF(I119="ND","ND",XiuYue((((I119-基础页!$B$24)*基础页!$B$15/C119)),3,-1,9999)),"")</f>
        <v/>
      </c>
    </row>
    <row r="120" ht="20.25" customHeight="1" spans="7:10">
      <c r="G120" s="4" t="str">
        <f>IFERROR(baoliuxiaoshuwei((E120-F120)/(E120+F120)*100,0),"")</f>
        <v/>
      </c>
      <c r="H120" s="26" t="str">
        <f t="shared" si="1"/>
        <v/>
      </c>
      <c r="I120" s="4"/>
      <c r="J120" s="4" t="str">
        <f>IFERROR(IF(I120="ND","ND",XiuYue((((I120-基础页!$B$24)*基础页!$B$15/C120)),3,-1,9999)),"")</f>
        <v/>
      </c>
    </row>
    <row r="121" ht="20.25" customHeight="1" spans="7:10">
      <c r="G121" s="4" t="str">
        <f>IFERROR(baoliuxiaoshuwei((E121-F121)/(E121+F121)*100,0),"")</f>
        <v/>
      </c>
      <c r="H121" s="26" t="str">
        <f t="shared" si="1"/>
        <v/>
      </c>
      <c r="I121" s="4"/>
      <c r="J121" s="4" t="str">
        <f>IFERROR(IF(I121="ND","ND",XiuYue((((I121-基础页!$B$24)*基础页!$B$15/C121)),3,-1,9999)),"")</f>
        <v/>
      </c>
    </row>
    <row r="122" ht="20.25" customHeight="1" spans="7:10">
      <c r="G122" s="4" t="str">
        <f>IFERROR(baoliuxiaoshuwei((E122-F122)/(E122+F122)*100,0),"")</f>
        <v/>
      </c>
      <c r="H122" s="26" t="str">
        <f t="shared" si="1"/>
        <v/>
      </c>
      <c r="I122" s="4"/>
      <c r="J122" s="4" t="str">
        <f>IFERROR(IF(I122="ND","ND",XiuYue((((I122-基础页!$B$24)*基础页!$B$15/C122)),3,-1,9999)),"")</f>
        <v/>
      </c>
    </row>
    <row r="123" ht="20.25" customHeight="1" spans="7:10">
      <c r="G123" s="4" t="str">
        <f>IFERROR(baoliuxiaoshuwei((E123-F123)/(E123+F123)*100,0),"")</f>
        <v/>
      </c>
      <c r="H123" s="26" t="str">
        <f t="shared" si="1"/>
        <v/>
      </c>
      <c r="I123" s="4"/>
      <c r="J123" s="4" t="str">
        <f>IFERROR(IF(I123="ND","ND",XiuYue((((I123-基础页!$B$24)*基础页!$B$15/C123)),3,-1,9999)),"")</f>
        <v/>
      </c>
    </row>
    <row r="124" ht="20.25" customHeight="1" spans="7:10">
      <c r="G124" s="4" t="str">
        <f>IFERROR(baoliuxiaoshuwei((E124-F124)/(E124+F124)*100,0),"")</f>
        <v/>
      </c>
      <c r="H124" s="26" t="str">
        <f t="shared" si="1"/>
        <v/>
      </c>
      <c r="I124" s="4"/>
      <c r="J124" s="4" t="str">
        <f>IFERROR(IF(I124="ND","ND",XiuYue((((I124-基础页!$B$24)*基础页!$B$15/C124)),3,-1,9999)),"")</f>
        <v/>
      </c>
    </row>
    <row r="125" ht="20.25" customHeight="1" spans="7:10">
      <c r="G125" s="4" t="str">
        <f>IFERROR(baoliuxiaoshuwei((E125-F125)/(E125+F125)*100,0),"")</f>
        <v/>
      </c>
      <c r="H125" s="26" t="str">
        <f t="shared" si="1"/>
        <v/>
      </c>
      <c r="I125" s="4"/>
      <c r="J125" s="4" t="str">
        <f>IFERROR(IF(I125="ND","ND",XiuYue((((I125-基础页!$B$24)*基础页!$B$15/C125)),3,-1,9999)),"")</f>
        <v/>
      </c>
    </row>
    <row r="126" ht="20.25" customHeight="1" spans="7:10">
      <c r="G126" s="4" t="str">
        <f>IFERROR(baoliuxiaoshuwei((E126-F126)/(E126+F126)*100,0),"")</f>
        <v/>
      </c>
      <c r="H126" s="26" t="str">
        <f t="shared" si="1"/>
        <v/>
      </c>
      <c r="I126" s="4"/>
      <c r="J126" s="4" t="str">
        <f>IFERROR(IF(I126="ND","ND",XiuYue((((I126-基础页!$B$24)*基础页!$B$15/C126)),3,-1,9999)),"")</f>
        <v/>
      </c>
    </row>
    <row r="127" ht="20.25" customHeight="1" spans="7:10">
      <c r="G127" s="4" t="str">
        <f>IFERROR(baoliuxiaoshuwei((E127-F127)/(E127+F127)*100,0),"")</f>
        <v/>
      </c>
      <c r="H127" s="26" t="str">
        <f t="shared" si="1"/>
        <v/>
      </c>
      <c r="I127" s="4"/>
      <c r="J127" s="4" t="str">
        <f>IFERROR(IF(I127="ND","ND",XiuYue((((I127-基础页!$B$24)*基础页!$B$15/C127)),3,-1,9999)),"")</f>
        <v/>
      </c>
    </row>
    <row r="128" ht="20.25" customHeight="1" spans="7:10">
      <c r="G128" s="4" t="str">
        <f>IFERROR(baoliuxiaoshuwei((E128-F128)/(E128+F128)*100,0),"")</f>
        <v/>
      </c>
      <c r="H128" s="26" t="str">
        <f t="shared" si="1"/>
        <v/>
      </c>
      <c r="I128" s="4"/>
      <c r="J128" s="4" t="str">
        <f>IFERROR(IF(I128="ND","ND",XiuYue((((I128-基础页!$B$24)*基础页!$B$15/C128)),3,-1,9999)),"")</f>
        <v/>
      </c>
    </row>
    <row r="129" ht="20.25" customHeight="1" spans="7:10">
      <c r="G129" s="4" t="str">
        <f>IFERROR(baoliuxiaoshuwei((E129-F129)/(E129+F129)*100,0),"")</f>
        <v/>
      </c>
      <c r="H129" s="26" t="str">
        <f t="shared" si="1"/>
        <v/>
      </c>
      <c r="I129" s="4"/>
      <c r="J129" s="4" t="str">
        <f>IFERROR(IF(I129="ND","ND",XiuYue((((I129-基础页!$B$24)*基础页!$B$15/C129)),3,-1,9999)),"")</f>
        <v/>
      </c>
    </row>
    <row r="130" ht="20.25" customHeight="1" spans="7:10">
      <c r="G130" s="4" t="str">
        <f>IFERROR(baoliuxiaoshuwei((E130-F130)/(E130+F130)*100,0),"")</f>
        <v/>
      </c>
      <c r="H130" s="26" t="str">
        <f t="shared" si="1"/>
        <v/>
      </c>
      <c r="I130" s="4"/>
      <c r="J130" s="4" t="str">
        <f>IFERROR(IF(I130="ND","ND",XiuYue((((I130-基础页!$B$24)*基础页!$B$15/C130)),3,-1,9999)),"")</f>
        <v/>
      </c>
    </row>
    <row r="131" ht="20.25" customHeight="1" spans="7:10">
      <c r="G131" s="4" t="str">
        <f>IFERROR(baoliuxiaoshuwei((E131-F131)/(E131+F131)*100,0),"")</f>
        <v/>
      </c>
      <c r="H131" s="26" t="str">
        <f t="shared" si="1"/>
        <v/>
      </c>
      <c r="I131" s="4"/>
      <c r="J131" s="4" t="str">
        <f>IFERROR(IF(I131="ND","ND",XiuYue((((I131-基础页!$B$24)*基础页!$B$15/C131)),3,-1,9999)),"")</f>
        <v/>
      </c>
    </row>
    <row r="132" ht="20.25" customHeight="1" spans="7:10">
      <c r="G132" s="4" t="str">
        <f>IFERROR(baoliuxiaoshuwei((E132-F132)/(E132+F132)*100,0),"")</f>
        <v/>
      </c>
      <c r="H132" s="26" t="str">
        <f t="shared" si="1"/>
        <v/>
      </c>
      <c r="I132" s="4"/>
      <c r="J132" s="4" t="str">
        <f>IFERROR(IF(I132="ND","ND",XiuYue((((I132-基础页!$B$24)*基础页!$B$15/C132)),3,-1,9999)),"")</f>
        <v/>
      </c>
    </row>
    <row r="133" ht="20.25" customHeight="1" spans="7:10">
      <c r="G133" s="4" t="str">
        <f>IFERROR(baoliuxiaoshuwei((E133-F133)/(E133+F133)*100,0),"")</f>
        <v/>
      </c>
      <c r="H133" s="26" t="str">
        <f t="shared" si="1"/>
        <v/>
      </c>
      <c r="I133" s="4"/>
      <c r="J133" s="4" t="str">
        <f>IFERROR(IF(I133="ND","ND",XiuYue((((I133-基础页!$B$24)*基础页!$B$15/C133)),3,-1,9999)),"")</f>
        <v/>
      </c>
    </row>
    <row r="134" ht="20.25" customHeight="1" spans="7:10">
      <c r="G134" s="4"/>
      <c r="H134" s="26" t="str">
        <f t="shared" ref="H134:H135" si="2">IFERROR(IF(ISBLANK(I134),"",IF(J134="ND","否","是")),"")</f>
        <v/>
      </c>
      <c r="I134" s="4"/>
      <c r="J134" s="4" t="str">
        <f>IFERROR(IF(I134="ND","ND",XiuYue((((I134-基础页!$B$24)*基础页!$B$15/C134)),3,-1,9999)),"")</f>
        <v/>
      </c>
    </row>
    <row r="135" ht="20.25" customHeight="1" spans="7:10">
      <c r="G135" s="4"/>
      <c r="H135" s="26" t="str">
        <f t="shared" si="2"/>
        <v/>
      </c>
      <c r="I135" s="4"/>
      <c r="J135" s="4" t="str">
        <f>IFERROR(IF(I135="ND","ND",XiuYue((((I135-基础页!$B$24)*基础页!$B$15/C135)),3,-1,9999)),"")</f>
        <v/>
      </c>
    </row>
    <row r="136" ht="20.25" customHeight="1" spans="7:10">
      <c r="G136" s="4"/>
      <c r="H136" s="26"/>
      <c r="I136" s="4"/>
      <c r="J136" s="4" t="str">
        <f>IFERROR(IF(I136="ND","ND",XiuYue((((I136-基础页!$B$24)*基础页!$B$15/C136)),3,-1,9999)),"")</f>
        <v/>
      </c>
    </row>
    <row r="137" ht="20.25" customHeight="1" spans="7:10">
      <c r="G137" s="4"/>
      <c r="H137" s="26"/>
      <c r="I137" s="4"/>
      <c r="J137" s="4" t="str">
        <f>IFERROR(IF(I137="ND","ND",XiuYue((((I137-基础页!$B$24)*基础页!$B$15/C137)),3,-1,9999)),"")</f>
        <v/>
      </c>
    </row>
    <row r="138" ht="20.25" customHeight="1" spans="7:10">
      <c r="G138" s="4"/>
      <c r="H138" s="26"/>
      <c r="I138" s="4"/>
      <c r="J138" s="4" t="str">
        <f>IFERROR(IF(I138="ND","ND",XiuYue((((I138-基础页!$B$24)*基础页!$B$15/C138)),3,-1,9999)),"")</f>
        <v/>
      </c>
    </row>
    <row r="139" ht="20.25" customHeight="1" spans="7:10">
      <c r="G139" s="4"/>
      <c r="H139" s="26"/>
      <c r="I139" s="4"/>
      <c r="J139" s="4" t="str">
        <f>IFERROR(IF(I139="ND","ND",XiuYue((((I139-基础页!$B$24)*基础页!$B$15/C139)),3,-1,9999)),"")</f>
        <v/>
      </c>
    </row>
    <row r="140" ht="20.25" customHeight="1" spans="7:10">
      <c r="G140" s="4"/>
      <c r="H140" s="26"/>
      <c r="I140" s="4"/>
      <c r="J140" s="4" t="str">
        <f>IFERROR(IF(I140="ND","ND",XiuYue((((I140-基础页!$B$24)*基础页!$B$15/C140)),3,-1,9999)),"")</f>
        <v/>
      </c>
    </row>
    <row r="141" ht="20.25" customHeight="1" spans="7:10">
      <c r="G141" s="4"/>
      <c r="H141" s="26"/>
      <c r="I141" s="4"/>
      <c r="J141" s="4" t="str">
        <f>IFERROR(IF(I141="ND","ND",XiuYue((((I141-基础页!$B$24)*基础页!$B$15/C141)),3,-1,9999)),"")</f>
        <v/>
      </c>
    </row>
    <row r="142" ht="20.25" customHeight="1" spans="7:10">
      <c r="G142" s="4"/>
      <c r="H142" s="26"/>
      <c r="I142" s="4"/>
      <c r="J142" s="4" t="str">
        <f>IFERROR(IF(I142="ND","ND",XiuYue((((I142-基础页!$B$24)*基础页!$B$15/C142)),3,-1,9999)),"")</f>
        <v/>
      </c>
    </row>
    <row r="143" ht="20.25" customHeight="1" spans="7:10">
      <c r="G143" s="4"/>
      <c r="H143" s="26"/>
      <c r="I143" s="4"/>
      <c r="J143" s="4" t="str">
        <f>IFERROR(IF(I143="ND","ND",XiuYue((((I143-基础页!$B$24)*基础页!$B$15/C143)),3,-1,9999)),"")</f>
        <v/>
      </c>
    </row>
    <row r="144" ht="20.25" customHeight="1" spans="7:10">
      <c r="G144" s="4"/>
      <c r="H144" s="26"/>
      <c r="I144" s="4"/>
      <c r="J144" s="4" t="str">
        <f>IFERROR(IF(I144="ND","ND",XiuYue((((I144-基础页!$B$24)*基础页!$B$15/C144)),3,-1,9999)),"")</f>
        <v/>
      </c>
    </row>
    <row r="145" ht="20.25" customHeight="1" spans="7:10">
      <c r="G145" s="4"/>
      <c r="H145" s="26"/>
      <c r="I145" s="4"/>
      <c r="J145" s="4" t="str">
        <f>IFERROR(IF(I145="ND","ND",XiuYue((((I145-基础页!$B$24)*基础页!$B$15/C145)),3,-1,9999)),"")</f>
        <v/>
      </c>
    </row>
    <row r="146" ht="20.25" customHeight="1" spans="7:10">
      <c r="G146" s="4"/>
      <c r="H146" s="26"/>
      <c r="I146" s="4"/>
      <c r="J146" s="4" t="str">
        <f>IFERROR(IF(I146="ND","ND",XiuYue((((I146-基础页!$B$24)*基础页!$B$15/C146)),3,-1,9999)),"")</f>
        <v/>
      </c>
    </row>
    <row r="147" ht="20.25" customHeight="1" spans="7:10">
      <c r="G147" s="4"/>
      <c r="H147" s="26"/>
      <c r="I147" s="4"/>
      <c r="J147" s="4" t="str">
        <f>IFERROR(IF(I147="ND","ND",XiuYue((((I147-基础页!$B$24)*基础页!$B$15/C147)),3,-1,9999)),"")</f>
        <v/>
      </c>
    </row>
    <row r="148" ht="20.25" customHeight="1" spans="7:10">
      <c r="G148" s="4"/>
      <c r="H148" s="26"/>
      <c r="I148" s="4"/>
      <c r="J148" s="4" t="str">
        <f>IFERROR(IF(I148="ND","ND",XiuYue((((I148-基础页!$B$24)*基础页!$B$15/C148)),3,-1,9999)),"")</f>
        <v/>
      </c>
    </row>
    <row r="149" ht="20.25" customHeight="1" spans="7:10">
      <c r="G149" s="4"/>
      <c r="H149" s="26"/>
      <c r="I149" s="4"/>
      <c r="J149" s="4" t="str">
        <f>IFERROR(IF(I149="ND","ND",XiuYue((((I149-基础页!$B$24)*基础页!$B$15/C149)),3,-1,9999)),"")</f>
        <v/>
      </c>
    </row>
    <row r="150" ht="20.25" customHeight="1" spans="7:10">
      <c r="G150" s="4"/>
      <c r="H150" s="26"/>
      <c r="I150" s="4"/>
      <c r="J150" s="4" t="str">
        <f>IFERROR(IF(I150="ND","ND",XiuYue((((I150-基础页!$B$24)*基础页!$B$15/C150)),3,-1,9999)),"")</f>
        <v/>
      </c>
    </row>
    <row r="151" ht="20.25" customHeight="1" spans="7:10">
      <c r="G151" s="4"/>
      <c r="H151" s="26"/>
      <c r="I151" s="4"/>
      <c r="J151" s="4" t="str">
        <f>IFERROR(IF(I151="ND","ND",XiuYue((((I151-基础页!$B$24)*基础页!$B$15/C151)),3,-1,9999)),"")</f>
        <v/>
      </c>
    </row>
    <row r="152" ht="20.25" customHeight="1" spans="7:10">
      <c r="G152" s="4"/>
      <c r="H152" s="26"/>
      <c r="I152" s="4"/>
      <c r="J152" s="4" t="str">
        <f>IFERROR(IF(I152="ND","ND",XiuYue((((I152-基础页!$B$24)*基础页!$B$15/C152)),3,-1,9999)),"")</f>
        <v/>
      </c>
    </row>
    <row r="153" ht="20.25" customHeight="1" spans="7:10">
      <c r="G153" s="4"/>
      <c r="H153" s="26"/>
      <c r="I153" s="4"/>
      <c r="J153" s="4" t="str">
        <f>IFERROR(IF(I153="ND","ND",XiuYue((((I153-基础页!$B$24)*基础页!$B$15/C153)),3,-1,9999)),"")</f>
        <v/>
      </c>
    </row>
    <row r="154" ht="20.25" customHeight="1" spans="7:10">
      <c r="G154" s="4"/>
      <c r="H154" s="26"/>
      <c r="I154" s="4"/>
      <c r="J154" s="4" t="str">
        <f>IFERROR(IF(I154="ND","ND",XiuYue((((I154-基础页!$B$24)*基础页!$B$15/C154)),3,-1,9999)),"")</f>
        <v/>
      </c>
    </row>
    <row r="155" ht="20.25" customHeight="1" spans="7:10">
      <c r="G155" s="4"/>
      <c r="H155" s="26"/>
      <c r="I155" s="4"/>
      <c r="J155" s="4" t="str">
        <f>IFERROR(IF(I155="ND","ND",XiuYue((((I155-基础页!$B$24)*基础页!$B$15/C155)),3,-1,9999)),"")</f>
        <v/>
      </c>
    </row>
    <row r="156" ht="20.25" customHeight="1" spans="7:10">
      <c r="G156" s="4"/>
      <c r="H156" s="26"/>
      <c r="I156" s="4"/>
      <c r="J156" s="4" t="str">
        <f>IFERROR(IF(I156="ND","ND",XiuYue((((I156-基础页!$B$24)*基础页!$B$15/C156)),3,-1,9999)),"")</f>
        <v/>
      </c>
    </row>
    <row r="157" ht="20.25" customHeight="1" spans="7:10">
      <c r="G157" s="4"/>
      <c r="H157" s="26"/>
      <c r="I157" s="4"/>
      <c r="J157" s="4" t="str">
        <f>IFERROR(IF(I157="ND","ND",XiuYue((((I157-基础页!$B$24)*基础页!$B$15/C157)),3,-1,9999)),"")</f>
        <v/>
      </c>
    </row>
    <row r="158" ht="20.25" customHeight="1" spans="7:10">
      <c r="G158" s="4"/>
      <c r="H158" s="26"/>
      <c r="I158" s="4"/>
      <c r="J158" s="4" t="str">
        <f>IFERROR(IF(I158="ND","ND",XiuYue((((I158-基础页!$B$24)*基础页!$B$15/C158)),3,-1,9999)),"")</f>
        <v/>
      </c>
    </row>
    <row r="159" ht="20.25" customHeight="1" spans="7:10">
      <c r="G159" s="4"/>
      <c r="H159" s="26"/>
      <c r="I159" s="4"/>
      <c r="J159" s="4" t="str">
        <f>IFERROR(IF(I159="ND","ND",XiuYue((((I159-基础页!$B$24)*基础页!$B$15/C159)),3,-1,9999)),"")</f>
        <v/>
      </c>
    </row>
    <row r="160" ht="20.25" customHeight="1" spans="7:10">
      <c r="G160" s="4"/>
      <c r="H160" s="26"/>
      <c r="I160" s="4"/>
      <c r="J160" s="4" t="str">
        <f>IFERROR(IF(I160="ND","ND",XiuYue((((I160-基础页!$B$24)*基础页!$B$15/C160)),3,-1,9999)),"")</f>
        <v/>
      </c>
    </row>
    <row r="161" ht="20.25" customHeight="1" spans="7:10">
      <c r="G161" s="4"/>
      <c r="H161" s="26"/>
      <c r="I161" s="4"/>
      <c r="J161" s="4" t="str">
        <f>IFERROR(IF(I161="ND","ND",XiuYue((((I161-基础页!$B$24)*基础页!$B$15/C161)),3,-1,9999)),"")</f>
        <v/>
      </c>
    </row>
    <row r="162" ht="20.25" customHeight="1" spans="7:10">
      <c r="G162" s="4"/>
      <c r="H162" s="26"/>
      <c r="I162" s="4"/>
      <c r="J162" s="4" t="str">
        <f>IFERROR(IF(I162="ND","ND",XiuYue((((I162-基础页!$B$24)*基础页!$B$15/C162)),3,-1,9999)),"")</f>
        <v/>
      </c>
    </row>
    <row r="163" ht="20.25" customHeight="1" spans="7:10">
      <c r="G163" s="4"/>
      <c r="H163" s="26"/>
      <c r="I163" s="4"/>
      <c r="J163" s="4"/>
    </row>
    <row r="164" ht="20.25" customHeight="1" spans="7:10">
      <c r="G164" s="4"/>
      <c r="H164" s="26"/>
      <c r="I164" s="4"/>
      <c r="J164" s="4"/>
    </row>
    <row r="165" ht="20.25" customHeight="1" spans="7:10">
      <c r="G165" s="4"/>
      <c r="H165" s="26"/>
      <c r="I165" s="4"/>
      <c r="J165" s="4"/>
    </row>
    <row r="166" ht="20.25" customHeight="1" spans="7:10">
      <c r="G166" s="4"/>
      <c r="H166" s="26"/>
      <c r="I166" s="4"/>
      <c r="J166" s="4"/>
    </row>
    <row r="167" ht="20.25" customHeight="1" spans="7:10">
      <c r="G167" s="4"/>
      <c r="H167" s="26"/>
      <c r="I167" s="4"/>
      <c r="J167" s="4"/>
    </row>
    <row r="168" ht="20.25" customHeight="1" spans="7:10">
      <c r="G168" s="4"/>
      <c r="H168" s="26"/>
      <c r="I168" s="4"/>
      <c r="J168" s="4"/>
    </row>
    <row r="169" ht="20.25" customHeight="1" spans="7:10">
      <c r="G169" s="4"/>
      <c r="H169" s="26"/>
      <c r="I169" s="4"/>
      <c r="J169" s="4"/>
    </row>
    <row r="170" ht="20.25" customHeight="1" spans="7:10">
      <c r="G170" s="4"/>
      <c r="H170" s="26"/>
      <c r="I170" s="4"/>
      <c r="J170" s="4"/>
    </row>
    <row r="171" ht="20.25" customHeight="1" spans="7:10">
      <c r="G171" s="4"/>
      <c r="H171" s="26"/>
      <c r="I171" s="4"/>
      <c r="J171" s="4"/>
    </row>
    <row r="172" ht="20.25" customHeight="1" spans="7:10">
      <c r="G172" s="4"/>
      <c r="H172" s="26"/>
      <c r="I172" s="4"/>
      <c r="J172" s="4"/>
    </row>
    <row r="173" ht="20.25" customHeight="1" spans="7:10">
      <c r="G173" s="4"/>
      <c r="H173" s="26"/>
      <c r="I173" s="4"/>
      <c r="J173" s="4"/>
    </row>
    <row r="174" ht="20.25" customHeight="1" spans="7:10">
      <c r="G174" s="4"/>
      <c r="H174" s="26"/>
      <c r="I174" s="4"/>
      <c r="J174" s="4"/>
    </row>
    <row r="175" ht="20.25" customHeight="1" spans="7:10">
      <c r="G175" s="4"/>
      <c r="H175" s="26"/>
      <c r="I175" s="4"/>
      <c r="J175" s="4"/>
    </row>
    <row r="176" ht="20.25" customHeight="1" spans="7:10">
      <c r="G176" s="4"/>
      <c r="H176" s="26"/>
      <c r="I176" s="4"/>
      <c r="J176" s="4"/>
    </row>
    <row r="177" ht="20.25" customHeight="1" spans="7:10">
      <c r="G177" s="4"/>
      <c r="H177" s="26"/>
      <c r="I177" s="4"/>
      <c r="J177" s="4"/>
    </row>
    <row r="178" ht="20.25" customHeight="1" spans="7:10">
      <c r="G178" s="4"/>
      <c r="H178" s="26"/>
      <c r="I178" s="4"/>
      <c r="J178" s="4"/>
    </row>
    <row r="179" ht="20.25" customHeight="1" spans="7:10">
      <c r="G179" s="4"/>
      <c r="H179" s="26"/>
      <c r="I179" s="4"/>
      <c r="J179" s="4"/>
    </row>
    <row r="180" ht="20.25" customHeight="1" spans="7:10">
      <c r="G180" s="4"/>
      <c r="H180" s="26"/>
      <c r="I180" s="4"/>
      <c r="J180" s="4"/>
    </row>
    <row r="181" ht="20.25" customHeight="1" spans="7:10">
      <c r="G181" s="4"/>
      <c r="H181" s="26"/>
      <c r="I181" s="4"/>
      <c r="J181" s="4"/>
    </row>
    <row r="182" ht="20.25" customHeight="1" spans="7:10">
      <c r="G182" s="4"/>
      <c r="H182" s="26"/>
      <c r="I182" s="4"/>
      <c r="J182" s="4"/>
    </row>
    <row r="183" ht="20.25" customHeight="1" spans="7:10">
      <c r="G183" s="4"/>
      <c r="H183" s="26"/>
      <c r="I183" s="4"/>
      <c r="J183" s="4"/>
    </row>
    <row r="184" ht="20.25" customHeight="1" spans="7:10">
      <c r="G184" s="4"/>
      <c r="H184" s="26"/>
      <c r="I184" s="4"/>
      <c r="J184" s="4"/>
    </row>
    <row r="185" ht="20.25" customHeight="1" spans="7:10">
      <c r="G185" s="4"/>
      <c r="H185" s="26"/>
      <c r="I185" s="4"/>
      <c r="J185" s="4"/>
    </row>
    <row r="186" ht="20.25" customHeight="1" spans="7:10">
      <c r="G186" s="4"/>
      <c r="H186" s="26"/>
      <c r="I186" s="4"/>
      <c r="J186" s="4"/>
    </row>
    <row r="187" ht="20.25" customHeight="1" spans="7:10">
      <c r="G187" s="4"/>
      <c r="H187" s="26"/>
      <c r="I187" s="4"/>
      <c r="J187" s="4"/>
    </row>
    <row r="188" ht="20.25" customHeight="1" spans="7:10">
      <c r="G188" s="4"/>
      <c r="H188" s="26"/>
      <c r="I188" s="4"/>
      <c r="J188" s="4"/>
    </row>
    <row r="189" ht="20.25" customHeight="1" spans="7:10">
      <c r="G189" s="4"/>
      <c r="H189" s="26"/>
      <c r="I189" s="4"/>
      <c r="J189" s="4"/>
    </row>
    <row r="190" ht="20.25" customHeight="1" spans="7:10">
      <c r="G190" s="4"/>
      <c r="H190" s="26"/>
      <c r="I190" s="4"/>
      <c r="J190" s="4"/>
    </row>
    <row r="191" ht="20.25" customHeight="1" spans="7:10">
      <c r="G191" s="4"/>
      <c r="H191" s="26"/>
      <c r="I191" s="4"/>
      <c r="J191" s="4"/>
    </row>
    <row r="192" ht="20.25" customHeight="1" spans="7:10">
      <c r="G192" s="4"/>
      <c r="H192" s="26"/>
      <c r="I192" s="4"/>
      <c r="J192" s="4"/>
    </row>
    <row r="193" ht="20.25" customHeight="1" spans="7:10">
      <c r="G193" s="4"/>
      <c r="H193" s="26"/>
      <c r="I193" s="4"/>
      <c r="J193" s="4"/>
    </row>
    <row r="194" ht="20.25" customHeight="1" spans="7:10">
      <c r="G194" s="4"/>
      <c r="H194" s="26"/>
      <c r="I194" s="4"/>
      <c r="J194" s="4"/>
    </row>
    <row r="195" ht="20.25" customHeight="1" spans="7:10">
      <c r="G195" s="4"/>
      <c r="H195" s="26"/>
      <c r="I195" s="4"/>
      <c r="J195" s="4"/>
    </row>
    <row r="196" ht="20.25" customHeight="1" spans="7:10">
      <c r="G196" s="4"/>
      <c r="H196" s="26"/>
      <c r="I196" s="4"/>
      <c r="J196" s="4"/>
    </row>
    <row r="197" ht="20.25" customHeight="1" spans="7:10">
      <c r="G197" s="4"/>
      <c r="H197" s="26"/>
      <c r="I197" s="4"/>
      <c r="J197" s="4"/>
    </row>
    <row r="198" ht="20.25" customHeight="1" spans="7:10">
      <c r="G198" s="4"/>
      <c r="H198" s="26"/>
      <c r="I198" s="4"/>
      <c r="J198" s="4"/>
    </row>
    <row r="199" ht="20.25" customHeight="1" spans="7:10">
      <c r="G199" s="4"/>
      <c r="H199" s="26"/>
      <c r="I199" s="4"/>
      <c r="J199" s="4"/>
    </row>
    <row r="200" ht="20.25" customHeight="1" spans="7:10">
      <c r="G200" s="4"/>
      <c r="H200" s="26"/>
      <c r="I200" s="4"/>
      <c r="J200" s="4"/>
    </row>
    <row r="201" ht="20.25" customHeight="1" spans="7:10">
      <c r="G201" s="4"/>
      <c r="H201" s="26"/>
      <c r="I201" s="4"/>
      <c r="J201" s="4"/>
    </row>
    <row r="202" ht="20.25" customHeight="1" spans="7:10">
      <c r="G202" s="4"/>
      <c r="H202" s="26"/>
      <c r="I202" s="4"/>
      <c r="J202" s="4"/>
    </row>
    <row r="203" ht="20.25" customHeight="1" spans="7:10">
      <c r="G203" s="4"/>
      <c r="H203" s="26"/>
      <c r="I203" s="4"/>
      <c r="J203" s="4"/>
    </row>
    <row r="204" ht="20.25" customHeight="1" spans="7:10">
      <c r="G204" s="4"/>
      <c r="H204" s="26"/>
      <c r="I204" s="4"/>
      <c r="J204" s="4"/>
    </row>
    <row r="205" ht="20.25" customHeight="1" spans="7:10">
      <c r="G205" s="4"/>
      <c r="H205" s="26"/>
      <c r="I205" s="4"/>
      <c r="J205" s="4"/>
    </row>
    <row r="206" ht="20.25" customHeight="1" spans="7:10">
      <c r="G206" s="4"/>
      <c r="H206" s="26"/>
      <c r="I206" s="4"/>
      <c r="J206" s="4"/>
    </row>
    <row r="207" ht="20.25" customHeight="1" spans="7:10">
      <c r="G207" s="4"/>
      <c r="H207" s="26"/>
      <c r="I207" s="4"/>
      <c r="J207" s="4"/>
    </row>
    <row r="208" ht="20.25" customHeight="1" spans="7:10">
      <c r="G208" s="4"/>
      <c r="H208" s="26"/>
      <c r="I208" s="4"/>
      <c r="J208" s="4"/>
    </row>
    <row r="209" ht="20.25" customHeight="1" spans="7:10">
      <c r="G209" s="4"/>
      <c r="H209" s="26"/>
      <c r="I209" s="4"/>
      <c r="J209" s="4"/>
    </row>
    <row r="210" ht="20.25" customHeight="1" spans="7:10">
      <c r="G210" s="4"/>
      <c r="H210" s="26"/>
      <c r="I210" s="4"/>
      <c r="J210" s="4"/>
    </row>
    <row r="211" ht="20.25" customHeight="1" spans="7:10">
      <c r="G211" s="4"/>
      <c r="H211" s="26"/>
      <c r="I211" s="4"/>
      <c r="J211" s="4"/>
    </row>
    <row r="212" ht="20.25" customHeight="1" spans="7:10">
      <c r="G212" s="4"/>
      <c r="H212" s="26"/>
      <c r="I212" s="4"/>
      <c r="J212" s="4"/>
    </row>
    <row r="213" ht="20.25" customHeight="1" spans="7:10">
      <c r="G213" s="4"/>
      <c r="H213" s="26"/>
      <c r="I213" s="4"/>
      <c r="J213" s="4"/>
    </row>
    <row r="214" ht="20.25" customHeight="1" spans="7:10">
      <c r="G214" s="4"/>
      <c r="H214" s="26"/>
      <c r="I214" s="4"/>
      <c r="J214" s="4"/>
    </row>
    <row r="215" ht="20.25" customHeight="1" spans="7:10">
      <c r="G215" s="4"/>
      <c r="H215" s="26"/>
      <c r="I215" s="4"/>
      <c r="J215" s="4"/>
    </row>
    <row r="216" ht="20.25" customHeight="1" spans="7:10">
      <c r="G216" s="4"/>
      <c r="H216" s="26"/>
      <c r="I216" s="4"/>
      <c r="J216" s="4"/>
    </row>
    <row r="217" ht="20.25" customHeight="1" spans="7:10">
      <c r="G217" s="4"/>
      <c r="H217" s="26"/>
      <c r="I217" s="4"/>
      <c r="J217" s="4"/>
    </row>
    <row r="218" ht="20.25" customHeight="1" spans="7:10">
      <c r="G218" s="4"/>
      <c r="H218" s="26"/>
      <c r="I218" s="4"/>
      <c r="J218" s="4"/>
    </row>
    <row r="219" ht="20.25" customHeight="1" spans="7:10">
      <c r="G219" s="4"/>
      <c r="H219" s="26"/>
      <c r="I219" s="4"/>
      <c r="J219" s="4"/>
    </row>
    <row r="220" ht="20.25" customHeight="1" spans="7:10">
      <c r="G220" s="4"/>
      <c r="H220" s="26"/>
      <c r="I220" s="4"/>
      <c r="J220" s="4"/>
    </row>
    <row r="221" ht="20.25" customHeight="1" spans="7:10">
      <c r="G221" s="4"/>
      <c r="H221" s="26"/>
      <c r="I221" s="4"/>
      <c r="J221" s="4"/>
    </row>
    <row r="222" ht="20.25" customHeight="1"/>
    <row r="223" ht="20.25" customHeight="1"/>
    <row r="224" ht="20.25" customHeight="1"/>
    <row r="225" ht="20.25" customHeight="1"/>
    <row r="226" ht="20.25" customHeight="1"/>
    <row r="227" ht="20.25" customHeight="1"/>
    <row r="228" ht="20.25" customHeight="1"/>
    <row r="229" ht="20.25" customHeight="1"/>
    <row r="230" ht="20.25" customHeight="1"/>
    <row r="231" ht="20.25" customHeight="1"/>
    <row r="232" ht="20.25" customHeight="1"/>
    <row r="233" ht="20.25" customHeight="1"/>
    <row r="234" ht="20.25" customHeight="1"/>
    <row r="235" ht="20.25" customHeight="1"/>
    <row r="236" ht="20.25" customHeight="1"/>
    <row r="237" ht="20.25" customHeight="1"/>
    <row r="238" ht="20.25" customHeight="1"/>
    <row r="239" ht="20.25" customHeight="1"/>
    <row r="240" ht="20.25" customHeight="1"/>
    <row r="241" ht="20.25" customHeight="1"/>
    <row r="242" ht="20.25" customHeight="1"/>
    <row r="243" ht="20.25" customHeight="1"/>
    <row r="244" ht="20.25" customHeight="1"/>
    <row r="245" ht="20.25" customHeight="1"/>
    <row r="246" ht="20.25" customHeight="1"/>
    <row r="247" ht="20.25" customHeight="1"/>
    <row r="248" ht="20.25" customHeight="1"/>
    <row r="249" ht="20.25" customHeight="1"/>
    <row r="250" ht="20.25" customHeight="1"/>
    <row r="251" ht="20.25" customHeight="1"/>
    <row r="252" ht="20.25" customHeight="1"/>
    <row r="253" ht="20.25" customHeight="1"/>
    <row r="254" ht="20.25" customHeight="1"/>
    <row r="255" ht="20.25" customHeight="1"/>
    <row r="256" ht="20.25" customHeight="1"/>
    <row r="257" ht="20.25" customHeight="1"/>
    <row r="258" ht="20.25" customHeight="1"/>
    <row r="259" ht="20.25" customHeight="1"/>
    <row r="260" ht="20.25" customHeight="1"/>
    <row r="261" ht="20.25" customHeight="1"/>
    <row r="262" ht="20.25" customHeight="1"/>
    <row r="263" ht="20.25" customHeight="1"/>
    <row r="264" ht="20.25" customHeight="1"/>
    <row r="265" ht="20.25" customHeight="1"/>
    <row r="266" ht="20.25" customHeight="1"/>
    <row r="267" ht="20.25" customHeight="1"/>
    <row r="268" ht="20.25" customHeight="1"/>
    <row r="269" ht="20.25" customHeight="1"/>
    <row r="270" ht="20.25" customHeight="1"/>
    <row r="271" ht="20.25" customHeight="1"/>
    <row r="272" ht="20.25" customHeight="1"/>
    <row r="273" ht="20.25" customHeight="1"/>
    <row r="274" ht="20.25" customHeight="1"/>
    <row r="275" ht="20.25" customHeight="1"/>
    <row r="276" ht="20.25" customHeight="1"/>
    <row r="277" ht="20.25" customHeight="1"/>
    <row r="278" ht="20.25" customHeight="1"/>
    <row r="279" ht="20.25" customHeight="1"/>
    <row r="280" ht="20.25" customHeight="1"/>
    <row r="281" ht="20.25" customHeight="1"/>
    <row r="282" ht="20.25" customHeight="1"/>
    <row r="283" ht="20.25" customHeight="1"/>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sheetData>
  <mergeCells count="18">
    <mergeCell ref="A1:K1"/>
    <mergeCell ref="E2:H2"/>
    <mergeCell ref="I2:J2"/>
    <mergeCell ref="K2:O2"/>
    <mergeCell ref="E3:G3"/>
    <mergeCell ref="A2:A4"/>
    <mergeCell ref="B2:B4"/>
    <mergeCell ref="C2:C4"/>
    <mergeCell ref="D2:D4"/>
    <mergeCell ref="H3:H4"/>
    <mergeCell ref="I3:I4"/>
    <mergeCell ref="J3:J4"/>
    <mergeCell ref="K3:K4"/>
    <mergeCell ref="L3:L4"/>
    <mergeCell ref="M3:M4"/>
    <mergeCell ref="N3:N4"/>
    <mergeCell ref="O3:O4"/>
    <mergeCell ref="P2:P4"/>
  </mergeCells>
  <pageMargins left="0.699305555555556" right="0.699305555555556" top="0.75" bottom="0.75" header="0.3" footer="0.3"/>
  <pageSetup paperSize="9" orientation="portrait" horizontalDpi="300" verticalDpi="300"/>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基础页</vt:lpstr>
      <vt:lpstr>分析记录</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Windows 用户</cp:lastModifiedBy>
  <dcterms:created xsi:type="dcterms:W3CDTF">2006-09-16T00:00:00Z</dcterms:created>
  <dcterms:modified xsi:type="dcterms:W3CDTF">2021-10-26T09:01:29Z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