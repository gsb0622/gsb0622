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vQBXBJkJPn5IdF7+xiqQfu6xFoCIhBjNO5QBfOrF2sPsl+FJ0Jr195f18MkzMycxwfSLoiRILtuVSm26RoVIWA==" workbookSaltValue="zWsX8Ver9XwgXlB4LyJoHw==" workbookSpinCount="100000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<sst xmlns="http://schemas.openxmlformats.org/spreadsheetml/2006/main" count="89">
  <si>
    <r>
      <rPr>
        <b/>
        <sz val="11"/>
        <color theme="0"/>
        <rFont val="宋体"/>
        <charset val="134"/>
      </rPr>
      <t>基本信息</t>
    </r>
  </si>
  <si>
    <t xml:space="preserve"> </t>
  </si>
  <si>
    <t>模板编号</t>
  </si>
  <si>
    <t>科学</t>
  </si>
  <si>
    <t>严谨</t>
  </si>
  <si>
    <t>任务号</t>
  </si>
  <si>
    <t>任务名称</t>
  </si>
  <si>
    <t>检测日期</t>
  </si>
  <si>
    <t>安全</t>
  </si>
  <si>
    <t>高效</t>
  </si>
  <si>
    <t>样品类别</t>
  </si>
  <si>
    <t>检测地点</t>
  </si>
  <si>
    <t>302室</t>
  </si>
  <si>
    <t>检测依据</t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</si>
  <si>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AS004</t>
    </r>
  </si>
  <si>
    <t xml:space="preserve"> Agilent 6890N</t>
  </si>
  <si>
    <t>温度(℃)</t>
  </si>
  <si>
    <t>湿度(%)</t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</si>
  <si>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AS471</t>
    </r>
  </si>
  <si>
    <t xml:space="preserve"> Clarus 680</t>
  </si>
  <si>
    <t>检出限(ng/g)</t>
  </si>
  <si>
    <t>PCB28:0.05;   PCB52:0.068;
PCB155:0.054; PCB101:0.05;
PCB112:0.038; PCB118:0.052;
PCB153:0.049; PCB138:0.038; PCB180:0.029; PCB198:0.033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</si>
  <si>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</si>
  <si>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0" tint="-0.0499893185216834"/>
        <rFont val="宋体"/>
        <charset val="134"/>
      </rPr>
      <t xml:space="preserve"> 气相色谱仪</t>
    </r>
    <r>
      <rPr>
        <sz val="11"/>
        <color theme="0" tint="-0.0499893185216834"/>
        <rFont val="Times New Roman"/>
        <charset val="134"/>
      </rPr>
      <t>AS530</t>
    </r>
  </si>
  <si>
    <t>NexisGC-2030</t>
  </si>
  <si>
    <t>定量限</t>
  </si>
  <si>
    <t>/</t>
  </si>
  <si>
    <r>
      <rPr>
        <sz val="11"/>
        <color rgb="FFFF0000"/>
        <rFont val="宋体"/>
        <charset val="134"/>
      </rPr>
      <t>为需填写内容</t>
    </r>
  </si>
  <si>
    <r>
      <rPr>
        <sz val="11"/>
        <color theme="0" tint="-0.0499893185216834"/>
        <rFont val="Times New Roman"/>
        <charset val="134"/>
      </rPr>
      <t xml:space="preserve"> 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AS007</t>
    </r>
  </si>
  <si>
    <t>Agilent6890N</t>
  </si>
  <si>
    <t>仪器名称及编号</t>
  </si>
  <si>
    <t xml:space="preserve">  气相色谱仪AS007</t>
  </si>
  <si>
    <r>
      <rPr>
        <sz val="11"/>
        <color rgb="FFFF0000"/>
        <rFont val="宋体"/>
        <charset val="134"/>
      </rPr>
      <t>为不需要填写</t>
    </r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</si>
  <si>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AS340</t>
    </r>
  </si>
  <si>
    <t xml:space="preserve">   Agilent7890B/5977A</t>
  </si>
  <si>
    <t>仪器型号</t>
  </si>
  <si>
    <t>SH-Rtx-1(30m×0.25mm×0.25μm)</t>
  </si>
  <si>
    <r>
      <rPr>
        <sz val="11"/>
        <color rgb="FFFF0000"/>
        <rFont val="宋体"/>
        <charset val="134"/>
      </rPr>
      <t>为质控模块</t>
    </r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</si>
  <si>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AS117</t>
    </r>
  </si>
  <si>
    <t xml:space="preserve">  Agilent6890N/5975B</t>
  </si>
  <si>
    <t>天平编号</t>
  </si>
  <si>
    <t>HP-5 (30m×0.32mm×0.25μm)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</si>
  <si>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</si>
  <si>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DB-1701(30m×0.25mm×0.25μm)</t>
  </si>
  <si>
    <t>色谱条件</t>
  </si>
  <si>
    <t>色谱柱</t>
  </si>
  <si>
    <t xml:space="preserve"> DB-1701(30m×0.25mm×0.25μm)
 HP-5 (30m×0.32mm×0.25μm)</t>
  </si>
  <si>
    <t>检测器温度(℃)</t>
  </si>
  <si>
    <t>不分流进样</t>
  </si>
  <si>
    <t>进样方式</t>
  </si>
  <si>
    <r>
      <rPr>
        <sz val="11"/>
        <color theme="1"/>
        <rFont val="宋体"/>
        <charset val="134"/>
      </rPr>
      <t>分流进样（分流比</t>
    </r>
    <r>
      <rPr>
        <sz val="11"/>
        <color theme="1"/>
        <rFont val="Times New Roman"/>
        <charset val="134"/>
      </rPr>
      <t xml:space="preserve">  :   </t>
    </r>
    <r>
      <rPr>
        <sz val="11"/>
        <color theme="1"/>
        <rFont val="宋体"/>
        <charset val="134"/>
      </rPr>
      <t>）</t>
    </r>
  </si>
  <si>
    <t>进样口温度(℃)</t>
  </si>
  <si>
    <r>
      <rPr>
        <sz val="11"/>
        <color theme="0" tint="-0.0499893185216834"/>
        <rFont val="宋体"/>
        <charset val="134"/>
      </rPr>
      <t>分流进样（分流比</t>
    </r>
    <r>
      <rPr>
        <sz val="11"/>
        <color theme="0" tint="-0.0499893185216834"/>
        <rFont val="Times New Roman"/>
        <charset val="134"/>
      </rPr>
      <t xml:space="preserve">  :  </t>
    </r>
    <r>
      <rPr>
        <sz val="11"/>
        <color theme="0" tint="-0.0499893185216834"/>
        <rFont val="宋体"/>
        <charset val="134"/>
      </rPr>
      <t>）</t>
    </r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</si>
  <si>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</si>
  <si>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</si>
  <si>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柱温程序</t>
  </si>
  <si>
    <t>初温100℃，保持1min，以15℃/min升至275℃，保持10min。</t>
  </si>
  <si>
    <t>标准溶液</t>
  </si>
  <si>
    <r>
      <rPr>
        <sz val="11"/>
        <color theme="1"/>
        <rFont val="宋体"/>
        <charset val="134"/>
      </rPr>
      <t>标准工作溶液浓度(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g/L)</t>
    </r>
  </si>
  <si>
    <t>标准工作液编号</t>
  </si>
  <si>
    <t>内标及加入量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</si>
  <si>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</si>
  <si>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</si>
  <si>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</si>
  <si>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</si>
  <si>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</si>
  <si>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</si>
  <si>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</si>
  <si>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</si>
  <si>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</si>
  <si>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</si>
  <si>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</si>
  <si>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t>取样量(  )</t>
  </si>
  <si>
    <t>检测项目</t>
  </si>
  <si>
    <t>定性判定</t>
  </si>
  <si>
    <t>定量结果</t>
  </si>
  <si>
    <t>质控</t>
  </si>
  <si>
    <t>备注</t>
  </si>
  <si>
    <t>保留时间
（min）
X（   ）</t>
  </si>
  <si>
    <t>是否阳性</t>
  </si>
  <si>
    <t>样液
测定结果
Cs（    ）</t>
  </si>
  <si>
    <t>样品
残留量
X（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</si>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</sst>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0.0_ ;[Red]\-0.0\ "/>
    <numFmt numFmtId="177" formatCode="0.0_ "/>
    <numFmt numFmtId="178" formatCode="0.0"/>
  </numFmts>
  <fonts count="39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宋体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12"/>
      <color theme="1"/>
      <name val="宋体"/>
      <charset val="134"/>
      <scheme val="minor"/>
    </font>
    <font>
      <b/>
      <sz val="11"/>
      <color theme="0"/>
      <name val="Times New Roman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0"/>
      <name val="Arial"/>
      <charset val="134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sz val="11"/>
      <color theme="1"/>
      <name val="Calibri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914548173467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29" fillId="29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0" fillId="20" borderId="15" applyNumberFormat="0" applyFont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3" fillId="0" borderId="13" applyNumberFormat="0" applyFill="0" applyAlignment="0" applyProtection="0">
      <alignment vertical="center"/>
    </xf>
    <xf numFmtId="0" fontId="18" fillId="0" borderId="13" applyNumberFormat="0" applyFill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20" fillId="0" borderId="18" applyNumberFormat="0" applyFill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25" fillId="24" borderId="16" applyNumberFormat="0" applyAlignment="0" applyProtection="0">
      <alignment vertical="center"/>
    </xf>
    <xf numFmtId="0" fontId="30" fillId="24" borderId="17" applyNumberFormat="0" applyAlignment="0" applyProtection="0">
      <alignment vertical="center"/>
    </xf>
    <xf numFmtId="0" fontId="34" fillId="39" borderId="20" applyNumberFormat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31" fillId="0" borderId="19" applyNumberFormat="0" applyFill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24" fillId="0" borderId="0"/>
  </cellStyleXfs>
  <cellXfs count="121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7" borderId="0" xfId="49" applyNumberFormat="1" applyFont="1" applyFill="1" applyAlignment="1" applyProtection="1">
      <alignment horizontal="left" vertical="center"/>
      <protection locked="0"/>
    </xf>
    <xf numFmtId="49" fontId="3" fillId="8" borderId="2" xfId="0" applyNumberFormat="1" applyFont="1" applyFill="1" applyBorder="1" applyAlignment="1" applyProtection="1">
      <alignment horizontal="center" vertical="center"/>
      <protection locked="0"/>
    </xf>
    <xf numFmtId="49" fontId="3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8" borderId="2" xfId="0" applyNumberFormat="1" applyFont="1" applyFill="1" applyBorder="1" applyAlignment="1" applyProtection="1">
      <alignment horizontal="center" vertical="center"/>
      <protection locked="0"/>
    </xf>
    <xf numFmtId="49" fontId="3" fillId="8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6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8" borderId="7" xfId="0" applyNumberFormat="1" applyFont="1" applyFill="1" applyBorder="1" applyAlignment="1" applyProtection="1">
      <alignment horizontal="center" vertical="center"/>
      <protection locked="0"/>
    </xf>
    <xf numFmtId="49" fontId="3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6" fillId="8" borderId="0" xfId="0" applyFont="1" applyFill="1" applyAlignment="1">
      <alignment horizontal="center" vertical="center"/>
    </xf>
    <xf numFmtId="0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7" fillId="7" borderId="5" xfId="49" applyNumberFormat="1" applyFont="1" applyFill="1" applyBorder="1" applyAlignment="1" applyProtection="1">
      <alignment horizontal="left" vertical="center"/>
      <protection locked="0"/>
    </xf>
    <xf numFmtId="49" fontId="7" fillId="7" borderId="6" xfId="49" applyNumberFormat="1" applyFont="1" applyFill="1" applyBorder="1" applyAlignment="1" applyProtection="1">
      <alignment horizontal="left" vertical="center"/>
      <protection locked="0"/>
    </xf>
    <xf numFmtId="0" fontId="3" fillId="6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Font="1" applyFill="1" applyBorder="1" applyAlignment="1" applyProtection="1">
      <alignment horizontal="center" vertical="center" wrapText="1"/>
      <protection locked="0"/>
    </xf>
    <xf numFmtId="0" fontId="3" fillId="6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 wrapText="1"/>
      <protection locked="0"/>
    </xf>
    <xf numFmtId="0" fontId="4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center"/>
    </xf>
    <xf numFmtId="0" fontId="1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7" fillId="7" borderId="1" xfId="0" applyNumberFormat="1" applyFont="1" applyFill="1" applyBorder="1" applyAlignment="1" applyProtection="1">
      <alignment horizontal="left" vertical="center"/>
      <protection locked="0"/>
    </xf>
    <xf numFmtId="0" fontId="7" fillId="9" borderId="0" xfId="0" applyNumberFormat="1" applyFont="1" applyFill="1" applyBorder="1" applyAlignment="1" applyProtection="1">
      <alignment horizontal="left" vertical="center"/>
      <protection locked="0"/>
    </xf>
    <xf numFmtId="49" fontId="1" fillId="9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1" fillId="9" borderId="0" xfId="0" applyNumberFormat="1" applyFont="1" applyFill="1" applyBorder="1" applyAlignment="1" applyProtection="1">
      <alignment horizontal="center" vertical="center"/>
      <protection locked="0"/>
    </xf>
    <xf numFmtId="49" fontId="8" fillId="9" borderId="0" xfId="0" applyNumberFormat="1" applyFont="1" applyFill="1" applyBorder="1" applyAlignment="1" applyProtection="1">
      <alignment horizontal="center"/>
    </xf>
    <xf numFmtId="49" fontId="1" fillId="3" borderId="4" xfId="0" applyNumberFormat="1" applyFont="1" applyFill="1" applyBorder="1" applyAlignment="1" applyProtection="1">
      <alignment horizontal="center" vertical="center"/>
      <protection locked="0"/>
    </xf>
    <xf numFmtId="49" fontId="1" fillId="3" borderId="5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8" fillId="9" borderId="0" xfId="0" applyNumberFormat="1" applyFont="1" applyFill="1" applyBorder="1" applyProtection="1"/>
    <xf numFmtId="49" fontId="5" fillId="3" borderId="4" xfId="0" applyNumberFormat="1" applyFont="1" applyFill="1" applyBorder="1" applyAlignment="1" applyProtection="1">
      <alignment horizontal="center" vertical="center"/>
      <protection locked="0"/>
    </xf>
    <xf numFmtId="49" fontId="5" fillId="3" borderId="5" xfId="0" applyNumberFormat="1" applyFont="1" applyFill="1" applyBorder="1" applyAlignment="1" applyProtection="1">
      <alignment horizontal="center" vertical="center"/>
      <protection locked="0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176" fontId="1" fillId="9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5" xfId="0" applyNumberFormat="1" applyFont="1" applyFill="1" applyBorder="1" applyAlignment="1" applyProtection="1">
      <alignment horizontal="center" vertical="center"/>
      <protection locked="0"/>
    </xf>
    <xf numFmtId="49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9" fillId="9" borderId="0" xfId="0" applyNumberFormat="1" applyFont="1" applyFill="1" applyBorder="1" applyAlignment="1" applyProtection="1">
      <alignment horizontal="center"/>
    </xf>
    <xf numFmtId="49" fontId="1" fillId="4" borderId="1" xfId="0" applyNumberFormat="1" applyFont="1" applyFill="1" applyBorder="1" applyAlignment="1" applyProtection="1">
      <alignment horizontal="left" vertical="center"/>
      <protection locked="0"/>
    </xf>
    <xf numFmtId="49" fontId="5" fillId="4" borderId="5" xfId="0" applyNumberFormat="1" applyFont="1" applyFill="1" applyBorder="1" applyAlignment="1" applyProtection="1">
      <alignment horizontal="right" vertical="center"/>
      <protection locked="0"/>
    </xf>
    <xf numFmtId="49" fontId="1" fillId="4" borderId="1" xfId="0" applyNumberFormat="1" applyFont="1" applyFill="1" applyBorder="1" applyAlignment="1" applyProtection="1">
      <alignment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6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4" xfId="0" applyNumberFormat="1" applyFont="1" applyFill="1" applyBorder="1" applyAlignment="1" applyProtection="1">
      <alignment horizontal="center" vertical="center" wrapText="1"/>
      <protection locked="0"/>
    </xf>
    <xf numFmtId="177" fontId="1" fillId="4" borderId="5" xfId="0" applyNumberFormat="1" applyFont="1" applyFill="1" applyBorder="1" applyAlignment="1" applyProtection="1">
      <alignment horizontal="center" vertical="center"/>
      <protection locked="0"/>
    </xf>
    <xf numFmtId="177" fontId="1" fillId="4" borderId="6" xfId="0" applyNumberFormat="1" applyFont="1" applyFill="1" applyBorder="1" applyAlignment="1" applyProtection="1">
      <alignment horizontal="center" vertical="center"/>
      <protection locked="0"/>
    </xf>
    <xf numFmtId="177" fontId="1" fillId="4" borderId="4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177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 vertical="center"/>
      <protection locked="0"/>
    </xf>
    <xf numFmtId="2" fontId="1" fillId="4" borderId="5" xfId="0" applyNumberFormat="1" applyFont="1" applyFill="1" applyBorder="1" applyAlignment="1" applyProtection="1">
      <alignment horizontal="center" vertical="center"/>
      <protection locked="0"/>
    </xf>
    <xf numFmtId="2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5" fillId="8" borderId="3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2" borderId="0" xfId="0" applyFont="1" applyFill="1" applyBorder="1" applyAlignment="1" applyProtection="1">
      <alignment horizontal="left" vertical="top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8" borderId="2" xfId="0" applyNumberFormat="1" applyFont="1" applyFill="1" applyBorder="1" applyAlignment="1">
      <alignment horizontal="center" vertical="center"/>
    </xf>
    <xf numFmtId="49" fontId="12" fillId="2" borderId="0" xfId="0" applyNumberFormat="1" applyFont="1" applyFill="1" applyBorder="1" applyProtection="1"/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11" fillId="2" borderId="0" xfId="0" applyNumberFormat="1" applyFont="1" applyFill="1" applyBorder="1" applyProtection="1"/>
    <xf numFmtId="49" fontId="5" fillId="8" borderId="7" xfId="0" applyNumberFormat="1" applyFont="1" applyFill="1" applyBorder="1" applyAlignment="1">
      <alignment horizontal="center" vertical="center"/>
    </xf>
    <xf numFmtId="0" fontId="5" fillId="4" borderId="4" xfId="0" applyNumberFormat="1" applyFont="1" applyFill="1" applyBorder="1" applyAlignment="1" applyProtection="1">
      <alignment horizontal="left" vertical="center" wrapText="1"/>
      <protection locked="0"/>
    </xf>
    <xf numFmtId="0" fontId="1" fillId="4" borderId="5" xfId="0" applyNumberFormat="1" applyFont="1" applyFill="1" applyBorder="1" applyAlignment="1" applyProtection="1">
      <alignment horizontal="left" vertical="center" wrapText="1"/>
      <protection locked="0"/>
    </xf>
    <xf numFmtId="0" fontId="1" fillId="4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8" borderId="3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vertical="center"/>
    </xf>
    <xf numFmtId="49" fontId="5" fillId="8" borderId="7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8" borderId="8" xfId="0" applyNumberFormat="1" applyFont="1" applyFill="1" applyBorder="1" applyAlignment="1">
      <alignment horizontal="center" vertical="center"/>
    </xf>
    <xf numFmtId="0" fontId="5" fillId="4" borderId="4" xfId="0" applyNumberFormat="1" applyFont="1" applyFill="1" applyBorder="1" applyAlignment="1">
      <alignment horizontal="center" vertical="center" wrapText="1"/>
    </xf>
    <xf numFmtId="0" fontId="5" fillId="4" borderId="5" xfId="0" applyNumberFormat="1" applyFont="1" applyFill="1" applyBorder="1" applyAlignment="1">
      <alignment horizontal="center" vertical="center" wrapText="1"/>
    </xf>
    <xf numFmtId="0" fontId="5" fillId="4" borderId="9" xfId="0" applyNumberFormat="1" applyFont="1" applyFill="1" applyBorder="1" applyAlignment="1">
      <alignment horizontal="right" vertical="center" wrapText="1"/>
    </xf>
    <xf numFmtId="49" fontId="5" fillId="8" borderId="1" xfId="0" applyNumberFormat="1" applyFont="1" applyFill="1" applyBorder="1" applyAlignment="1">
      <alignment horizontal="center" vertical="center"/>
    </xf>
    <xf numFmtId="49" fontId="5" fillId="4" borderId="4" xfId="0" applyNumberFormat="1" applyFont="1" applyFill="1" applyBorder="1" applyAlignment="1">
      <alignment horizontal="center" vertical="center" wrapText="1"/>
    </xf>
    <xf numFmtId="49" fontId="5" fillId="4" borderId="5" xfId="0" applyNumberFormat="1" applyFont="1" applyFill="1" applyBorder="1" applyAlignment="1">
      <alignment horizontal="center" vertical="center" wrapText="1"/>
    </xf>
    <xf numFmtId="49" fontId="5" fillId="4" borderId="6" xfId="0" applyNumberFormat="1" applyFont="1" applyFill="1" applyBorder="1" applyAlignment="1">
      <alignment horizontal="center" vertical="center" wrapText="1"/>
    </xf>
    <xf numFmtId="49" fontId="2" fillId="7" borderId="4" xfId="0" applyNumberFormat="1" applyFont="1" applyFill="1" applyBorder="1" applyAlignment="1" applyProtection="1">
      <alignment horizontal="left" vertical="center"/>
      <protection locked="0"/>
    </xf>
    <xf numFmtId="49" fontId="2" fillId="7" borderId="10" xfId="0" applyNumberFormat="1" applyFont="1" applyFill="1" applyBorder="1" applyAlignment="1" applyProtection="1">
      <alignment horizontal="left" vertical="center"/>
      <protection locked="0"/>
    </xf>
    <xf numFmtId="49" fontId="2" fillId="7" borderId="11" xfId="0" applyNumberFormat="1" applyFont="1" applyFill="1" applyBorder="1" applyAlignment="1" applyProtection="1">
      <alignment horizontal="left" vertical="center"/>
      <protection locked="0"/>
    </xf>
    <xf numFmtId="0" fontId="1" fillId="9" borderId="0" xfId="0" applyFont="1" applyFill="1" applyBorder="1" applyAlignment="1" applyProtection="1">
      <alignment horizontal="center" vertical="center"/>
      <protection locked="0"/>
    </xf>
    <xf numFmtId="49" fontId="13" fillId="9" borderId="0" xfId="0" applyNumberFormat="1" applyFont="1" applyFill="1" applyBorder="1" applyProtection="1"/>
    <xf numFmtId="49" fontId="9" fillId="9" borderId="0" xfId="0" applyNumberFormat="1" applyFont="1" applyFill="1" applyBorder="1" applyProtection="1"/>
    <xf numFmtId="49" fontId="14" fillId="2" borderId="12" xfId="0" applyNumberFormat="1" applyFont="1" applyFill="1" applyBorder="1" applyAlignment="1" applyProtection="1"/>
    <xf numFmtId="49" fontId="1" fillId="2" borderId="12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10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5" borderId="0" xfId="0" applyNumberFormat="1" applyFont="1" applyFill="1" applyBorder="1" applyProtection="1"/>
    <xf numFmtId="49" fontId="1" fillId="8" borderId="0" xfId="0" applyNumberFormat="1" applyFont="1" applyFill="1" applyBorder="1" applyProtection="1"/>
    <xf numFmtId="0" fontId="10" fillId="2" borderId="0" xfId="0" applyFont="1" applyFill="1" applyBorder="1" applyAlignment="1" applyProtection="1">
      <alignment horizontal="left" vertical="top"/>
      <protection locked="0"/>
    </xf>
    <xf numFmtId="49" fontId="11" fillId="2" borderId="0" xfId="0" applyNumberFormat="1" applyFont="1" applyFill="1" applyBorder="1" applyAlignment="1" applyProtection="1">
      <alignment vertical="center"/>
    </xf>
    <xf numFmtId="49" fontId="11" fillId="2" borderId="0" xfId="0" applyNumberFormat="1" applyFont="1" applyFill="1" applyAlignment="1">
      <alignment vertical="center"/>
    </xf>
    <xf numFmtId="49" fontId="10" fillId="2" borderId="0" xfId="0" applyNumberFormat="1" applyFont="1" applyFill="1" applyAlignment="1">
      <alignment vertical="center"/>
    </xf>
    <xf numFmtId="49" fontId="10" fillId="2" borderId="0" xfId="0" applyNumberFormat="1" applyFont="1" applyFill="1" applyBorder="1" applyProtection="1"/>
    <xf numFmtId="49" fontId="4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5F6F9"/>
      <color rgb="00FFFFCC"/>
      <color rgb="00FFFF66"/>
      <color rgb="00EDF676"/>
      <color rgb="00E6E686"/>
      <color rgb="008385E9"/>
      <color rgb="00FFFC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15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3422630" y="550481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14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4893290" y="522859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2</xdr:col>
      <xdr:colOff>237564</xdr:colOff>
      <xdr:row>22</xdr:row>
      <xdr:rowOff>62753</xdr:rowOff>
    </xdr:from>
    <xdr:ext cx="65" cy="172227"/>
    <xdr:sp>
      <xdr:nvSpPr>
        <xdr:cNvPr id="4" name="文本框 3"/>
        <xdr:cNvSpPr txBox="1"/>
      </xdr:nvSpPr>
      <xdr:spPr>
        <a:xfrm>
          <a:off x="2973070" y="10190480"/>
          <a:ext cx="0" cy="1727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5</xdr:col>
      <xdr:colOff>291353</xdr:colOff>
      <xdr:row>24</xdr:row>
      <xdr:rowOff>90991</xdr:rowOff>
    </xdr:from>
    <xdr:ext cx="65" cy="172227"/>
    <xdr:sp>
      <xdr:nvSpPr>
        <xdr:cNvPr id="5" name="文本框 4"/>
        <xdr:cNvSpPr txBox="1"/>
      </xdr:nvSpPr>
      <xdr:spPr>
        <a:xfrm>
          <a:off x="7377430" y="1090104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AA27"/>
  <sheetViews>
    <sheetView tabSelected="1" zoomScale="85" zoomScaleNormal="85" workbookViewId="0">
      <selection activeCell="A8" sqref="A8"/>
    </sheetView>
  </sheetViews>
  <sheetFormatPr defaultColWidth="9" defaultRowHeight="20.25" customHeight="1"/>
  <cols>
    <col min="1" max="1" width="22" style="35" customWidth="1"/>
    <col min="2" max="2" width="17.8888888888889" style="35" customWidth="1"/>
    <col min="3" max="3" width="34.4444444444444" style="35" customWidth="1"/>
    <col min="4" max="4" width="19.3333333333333" style="35" customWidth="1"/>
    <col min="5" max="5" width="9.66666666666667" style="35" customWidth="1"/>
    <col min="6" max="6" width="29.2222222222222" style="2" customWidth="1"/>
    <col min="7" max="16" width="5.11111111111111" style="2" customWidth="1"/>
    <col min="17" max="20" width="9" style="2"/>
    <col min="21" max="21" width="24.1111111111111" style="2" customWidth="1"/>
    <col min="22" max="22" width="27.2222222222222" style="2" customWidth="1"/>
    <col min="23" max="16384" width="9" style="2"/>
  </cols>
  <sheetData>
    <row r="1" customHeight="1" spans="1:16">
      <c r="A1" s="38" t="s">
        <v>0</v>
      </c>
      <c r="B1" s="38"/>
      <c r="C1" s="38"/>
      <c r="D1" s="38"/>
      <c r="E1" s="38"/>
      <c r="F1" s="39" t="s">
        <v>1</v>
      </c>
      <c r="G1" s="40"/>
      <c r="H1" s="40"/>
      <c r="I1" s="40"/>
      <c r="J1" s="40"/>
      <c r="K1" s="40"/>
      <c r="L1" s="40"/>
      <c r="M1" s="40"/>
      <c r="N1" s="40"/>
      <c r="O1" s="40"/>
      <c r="P1" s="105"/>
    </row>
    <row r="2" s="1" customFormat="1" ht="21" customHeight="1" spans="1:16">
      <c r="A2" s="41" t="s">
        <v>2</v>
      </c>
      <c r="B2" s="42"/>
      <c r="C2" s="43"/>
      <c r="D2" s="43"/>
      <c r="E2" s="44"/>
      <c r="F2" s="45"/>
      <c r="G2" s="40"/>
      <c r="H2" s="46" t="s">
        <v>3</v>
      </c>
      <c r="I2" s="46"/>
      <c r="J2" s="46"/>
      <c r="K2" s="50"/>
      <c r="L2" s="46" t="s">
        <v>4</v>
      </c>
      <c r="M2" s="46"/>
      <c r="N2" s="46"/>
      <c r="O2" s="40"/>
      <c r="P2" s="105"/>
    </row>
    <row r="3" s="1" customFormat="1" ht="21" customHeight="1" spans="1:16">
      <c r="A3" s="41" t="s">
        <v>5</v>
      </c>
      <c r="B3" s="47"/>
      <c r="C3" s="48"/>
      <c r="D3" s="48"/>
      <c r="E3" s="49"/>
      <c r="F3" s="45"/>
      <c r="G3" s="40"/>
      <c r="H3" s="46"/>
      <c r="I3" s="46"/>
      <c r="J3" s="46"/>
      <c r="K3" s="50"/>
      <c r="L3" s="46"/>
      <c r="M3" s="46"/>
      <c r="N3" s="46"/>
      <c r="O3" s="40"/>
      <c r="P3" s="105"/>
    </row>
    <row r="4" s="1" customFormat="1" ht="21" customHeight="1" spans="1:16">
      <c r="A4" s="41" t="s">
        <v>6</v>
      </c>
      <c r="B4" s="47"/>
      <c r="C4" s="48"/>
      <c r="D4" s="48"/>
      <c r="E4" s="49"/>
      <c r="F4" s="45"/>
      <c r="G4" s="40"/>
      <c r="H4" s="50"/>
      <c r="I4" s="50"/>
      <c r="J4" s="50"/>
      <c r="K4" s="50"/>
      <c r="L4" s="50"/>
      <c r="M4" s="106"/>
      <c r="N4" s="106"/>
      <c r="O4" s="40"/>
      <c r="P4" s="105"/>
    </row>
    <row r="5" s="1" customFormat="1" ht="21" customHeight="1" spans="1:16">
      <c r="A5" s="41" t="s">
        <v>7</v>
      </c>
      <c r="B5" s="47"/>
      <c r="C5" s="48"/>
      <c r="D5" s="48"/>
      <c r="E5" s="49"/>
      <c r="F5" s="45"/>
      <c r="G5" s="40"/>
      <c r="H5" s="46" t="s">
        <v>8</v>
      </c>
      <c r="I5" s="46"/>
      <c r="J5" s="46"/>
      <c r="K5" s="50"/>
      <c r="L5" s="46" t="s">
        <v>9</v>
      </c>
      <c r="M5" s="46"/>
      <c r="N5" s="46"/>
      <c r="O5" s="40"/>
      <c r="P5" s="105"/>
    </row>
    <row r="6" s="1" customFormat="1" ht="21" customHeight="1" spans="1:16">
      <c r="A6" s="41" t="s">
        <v>10</v>
      </c>
      <c r="B6" s="51"/>
      <c r="C6" s="52"/>
      <c r="D6" s="52"/>
      <c r="E6" s="53"/>
      <c r="F6" s="54"/>
      <c r="G6" s="40"/>
      <c r="H6" s="46"/>
      <c r="I6" s="46"/>
      <c r="J6" s="46"/>
      <c r="K6" s="50"/>
      <c r="L6" s="46"/>
      <c r="M6" s="46"/>
      <c r="N6" s="46"/>
      <c r="O6" s="40"/>
      <c r="P6" s="105"/>
    </row>
    <row r="7" s="1" customFormat="1" ht="21" customHeight="1" spans="1:26">
      <c r="A7" s="41" t="s">
        <v>11</v>
      </c>
      <c r="B7" s="51" t="s">
        <v>12</v>
      </c>
      <c r="C7" s="52"/>
      <c r="D7" s="52"/>
      <c r="E7" s="53"/>
      <c r="F7" s="54"/>
      <c r="G7" s="40"/>
      <c r="H7" s="46"/>
      <c r="I7" s="46"/>
      <c r="J7" s="46"/>
      <c r="K7" s="50"/>
      <c r="L7" s="46"/>
      <c r="M7" s="46"/>
      <c r="N7" s="46"/>
      <c r="O7" s="40"/>
      <c r="P7" s="105"/>
      <c r="S7" s="116"/>
      <c r="T7" s="117"/>
      <c r="U7" s="117"/>
      <c r="V7" s="117"/>
      <c r="W7" s="118"/>
      <c r="X7" s="118"/>
      <c r="Y7" s="111"/>
      <c r="Z7" s="120"/>
    </row>
    <row r="8" s="1" customFormat="1" ht="37" customHeight="1" spans="1:26">
      <c r="A8" s="41" t="s">
        <v>13</v>
      </c>
      <c r="B8" s="55"/>
      <c r="C8" s="56"/>
      <c r="D8" s="56"/>
      <c r="E8" s="57"/>
      <c r="F8" s="54"/>
      <c r="G8" s="40"/>
      <c r="H8" s="58"/>
      <c r="I8" s="58"/>
      <c r="J8" s="58"/>
      <c r="K8" s="107"/>
      <c r="L8" s="58"/>
      <c r="M8" s="58"/>
      <c r="N8" s="58"/>
      <c r="O8" s="40"/>
      <c r="P8" s="105"/>
      <c r="S8" s="116"/>
      <c r="T8" s="117"/>
      <c r="U8" s="117" t="s">
        <v>14</v>
      </c>
      <c r="V8" s="117" t="s">
        <v>15</v>
      </c>
      <c r="W8" s="118"/>
      <c r="X8" s="118"/>
      <c r="Y8" s="111"/>
      <c r="Z8" s="120"/>
    </row>
    <row r="9" s="1" customFormat="1" ht="21" customHeight="1" spans="1:26">
      <c r="A9" s="41" t="s">
        <v>16</v>
      </c>
      <c r="B9" s="59"/>
      <c r="C9" s="60" t="s">
        <v>17</v>
      </c>
      <c r="D9" s="61"/>
      <c r="E9" s="61"/>
      <c r="F9" s="62"/>
      <c r="G9" s="2"/>
      <c r="H9" s="2"/>
      <c r="M9" s="2"/>
      <c r="N9" s="2"/>
      <c r="O9" s="2"/>
      <c r="P9" s="62"/>
      <c r="S9" s="116"/>
      <c r="T9" s="117"/>
      <c r="U9" s="117" t="s">
        <v>18</v>
      </c>
      <c r="V9" s="117" t="s">
        <v>19</v>
      </c>
      <c r="W9" s="118"/>
      <c r="X9" s="118"/>
      <c r="Y9" s="111"/>
      <c r="Z9" s="120"/>
    </row>
    <row r="10" s="1" customFormat="1" ht="73.95" customHeight="1" spans="1:27">
      <c r="A10" s="41" t="s">
        <v>20</v>
      </c>
      <c r="B10" s="55" t="s">
        <v>21</v>
      </c>
      <c r="C10" s="63"/>
      <c r="D10" s="63"/>
      <c r="E10" s="64"/>
      <c r="F10" s="62"/>
      <c r="G10" s="2"/>
      <c r="H10" s="2"/>
      <c r="I10" s="108" t="s">
        <v>22</v>
      </c>
      <c r="J10" s="109"/>
      <c r="K10" s="62"/>
      <c r="L10" s="62"/>
      <c r="M10" s="2"/>
      <c r="N10" s="2"/>
      <c r="O10" s="2"/>
      <c r="P10" s="69"/>
      <c r="Q10" s="111"/>
      <c r="R10" s="111"/>
      <c r="S10" s="116"/>
      <c r="T10" s="117"/>
      <c r="U10" s="117" t="s">
        <v>23</v>
      </c>
      <c r="V10" s="117" t="s">
        <v>24</v>
      </c>
      <c r="W10" s="118"/>
      <c r="X10" s="118"/>
      <c r="Y10" s="111"/>
      <c r="Z10" s="111"/>
      <c r="AA10" s="111"/>
    </row>
    <row r="11" s="1" customFormat="1" ht="22.95" customHeight="1" spans="1:27">
      <c r="A11" s="41" t="s">
        <v>25</v>
      </c>
      <c r="B11" s="65" t="s">
        <v>26</v>
      </c>
      <c r="C11" s="66"/>
      <c r="D11" s="66"/>
      <c r="E11" s="67"/>
      <c r="F11" s="62"/>
      <c r="G11" s="62"/>
      <c r="H11" s="2"/>
      <c r="I11" s="110"/>
      <c r="J11" s="111" t="s">
        <v>27</v>
      </c>
      <c r="K11" s="62"/>
      <c r="L11" s="62"/>
      <c r="M11" s="62"/>
      <c r="N11" s="62"/>
      <c r="O11" s="62"/>
      <c r="P11" s="69"/>
      <c r="Q11" s="111"/>
      <c r="R11" s="111"/>
      <c r="S11" s="116"/>
      <c r="T11" s="117"/>
      <c r="U11" s="117" t="s">
        <v>28</v>
      </c>
      <c r="V11" s="117" t="s">
        <v>29</v>
      </c>
      <c r="W11" s="118"/>
      <c r="X11" s="118"/>
      <c r="Y11" s="111"/>
      <c r="Z11" s="111"/>
      <c r="AA11" s="111"/>
    </row>
    <row r="12" s="1" customFormat="1" ht="45" customHeight="1" spans="1:27">
      <c r="A12" s="41" t="s">
        <v>30</v>
      </c>
      <c r="B12" s="68" t="s">
        <v>31</v>
      </c>
      <c r="C12" s="66"/>
      <c r="D12" s="66"/>
      <c r="E12" s="67"/>
      <c r="F12" s="69"/>
      <c r="G12" s="62"/>
      <c r="H12" s="2"/>
      <c r="I12" s="112"/>
      <c r="J12" s="111" t="s">
        <v>32</v>
      </c>
      <c r="K12" s="2"/>
      <c r="L12" s="2"/>
      <c r="M12" s="62"/>
      <c r="N12" s="62"/>
      <c r="O12" s="62"/>
      <c r="P12" s="69"/>
      <c r="Q12" s="111"/>
      <c r="R12" s="111"/>
      <c r="S12" s="116"/>
      <c r="T12" s="117"/>
      <c r="U12" s="117" t="s">
        <v>33</v>
      </c>
      <c r="V12" s="117" t="s">
        <v>34</v>
      </c>
      <c r="W12" s="118"/>
      <c r="X12" s="118"/>
      <c r="Y12" s="111"/>
      <c r="Z12" s="111"/>
      <c r="AA12" s="111"/>
    </row>
    <row r="13" s="1" customFormat="1" ht="36" customHeight="1" spans="1:27">
      <c r="A13" s="41" t="s">
        <v>35</v>
      </c>
      <c r="B13" s="68" t="str">
        <f>IFERROR(VLOOKUP(B12,U8:V13,2,),"")</f>
        <v>Agilent6890N</v>
      </c>
      <c r="C13" s="66"/>
      <c r="D13" s="66"/>
      <c r="E13" s="67"/>
      <c r="F13" s="70" t="s">
        <v>36</v>
      </c>
      <c r="G13" s="62"/>
      <c r="H13" s="2"/>
      <c r="I13" s="113"/>
      <c r="J13" s="111" t="s">
        <v>37</v>
      </c>
      <c r="K13" s="2"/>
      <c r="L13" s="2"/>
      <c r="M13" s="62"/>
      <c r="N13" s="62"/>
      <c r="O13" s="62"/>
      <c r="P13" s="69"/>
      <c r="Q13" s="111"/>
      <c r="R13" s="111"/>
      <c r="S13" s="116"/>
      <c r="T13" s="117"/>
      <c r="U13" s="117" t="s">
        <v>38</v>
      </c>
      <c r="V13" s="117" t="s">
        <v>39</v>
      </c>
      <c r="W13" s="118"/>
      <c r="X13" s="118"/>
      <c r="Y13" s="111"/>
      <c r="Z13" s="111"/>
      <c r="AA13" s="111"/>
    </row>
    <row r="14" s="1" customFormat="1" ht="25.95" customHeight="1" spans="1:27">
      <c r="A14" s="41" t="s">
        <v>40</v>
      </c>
      <c r="B14" s="65"/>
      <c r="C14" s="71"/>
      <c r="D14" s="71"/>
      <c r="E14" s="72"/>
      <c r="F14" s="70" t="s">
        <v>41</v>
      </c>
      <c r="G14" s="62"/>
      <c r="H14" s="2"/>
      <c r="I14" s="114"/>
      <c r="J14" s="111"/>
      <c r="K14" s="2"/>
      <c r="L14" s="2"/>
      <c r="M14" s="62"/>
      <c r="N14" s="62"/>
      <c r="O14" s="62"/>
      <c r="P14" s="69"/>
      <c r="Q14" s="111"/>
      <c r="R14" s="111"/>
      <c r="S14" s="116"/>
      <c r="T14" s="116"/>
      <c r="U14" s="116"/>
      <c r="V14" s="116"/>
      <c r="W14" s="111"/>
      <c r="X14" s="111"/>
      <c r="Y14" s="111"/>
      <c r="Z14" s="111"/>
      <c r="AA14" s="111"/>
    </row>
    <row r="15" ht="25.35" customHeight="1" spans="1:27">
      <c r="A15" s="73" t="s">
        <v>42</v>
      </c>
      <c r="B15" s="74">
        <v>1</v>
      </c>
      <c r="C15" s="75"/>
      <c r="D15" s="75"/>
      <c r="E15" s="76"/>
      <c r="F15" s="70" t="s">
        <v>43</v>
      </c>
      <c r="G15" s="62"/>
      <c r="I15" s="114"/>
      <c r="J15" s="111"/>
      <c r="M15" s="62"/>
      <c r="N15" s="62"/>
      <c r="O15" s="62"/>
      <c r="P15" s="69"/>
      <c r="Q15" s="119"/>
      <c r="R15" s="119"/>
      <c r="S15" s="84"/>
      <c r="T15" s="84"/>
      <c r="U15" s="84"/>
      <c r="V15" s="84"/>
      <c r="W15" s="119"/>
      <c r="X15" s="119"/>
      <c r="Y15" s="119"/>
      <c r="Z15" s="119"/>
      <c r="AA15" s="119"/>
    </row>
    <row r="16" ht="70.95" customHeight="1" spans="1:27">
      <c r="A16" s="77" t="s">
        <v>44</v>
      </c>
      <c r="B16" s="73" t="s">
        <v>45</v>
      </c>
      <c r="C16" s="78" t="s">
        <v>46</v>
      </c>
      <c r="D16" s="73" t="s">
        <v>47</v>
      </c>
      <c r="E16" s="25">
        <v>300</v>
      </c>
      <c r="F16" s="79" t="s">
        <v>48</v>
      </c>
      <c r="G16" s="80"/>
      <c r="H16" s="37"/>
      <c r="I16" s="37"/>
      <c r="J16" s="37"/>
      <c r="K16" s="37"/>
      <c r="L16" s="80"/>
      <c r="M16" s="80"/>
      <c r="N16" s="80"/>
      <c r="O16" s="80"/>
      <c r="P16" s="115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</row>
    <row r="17" ht="48" customHeight="1" spans="1:6">
      <c r="A17" s="81"/>
      <c r="B17" s="73" t="s">
        <v>49</v>
      </c>
      <c r="C17" s="78" t="s">
        <v>50</v>
      </c>
      <c r="D17" s="73" t="s">
        <v>51</v>
      </c>
      <c r="E17" s="25">
        <v>260</v>
      </c>
      <c r="F17" s="82" t="s">
        <v>52</v>
      </c>
    </row>
    <row r="18" ht="25.2" customHeight="1" spans="1:6">
      <c r="A18" s="81"/>
      <c r="B18" s="73" t="s">
        <v>53</v>
      </c>
      <c r="C18" s="25">
        <v>0.9</v>
      </c>
      <c r="D18" s="73" t="s">
        <v>54</v>
      </c>
      <c r="E18" s="83">
        <v>1</v>
      </c>
      <c r="F18" s="84"/>
    </row>
    <row r="19" ht="43.2" customHeight="1" spans="1:5">
      <c r="A19" s="85"/>
      <c r="B19" s="73" t="s">
        <v>55</v>
      </c>
      <c r="C19" s="86" t="s">
        <v>56</v>
      </c>
      <c r="D19" s="87"/>
      <c r="E19" s="88"/>
    </row>
    <row r="20" ht="112.2" customHeight="1" spans="1:5">
      <c r="A20" s="89" t="s">
        <v>57</v>
      </c>
      <c r="B20" s="90" t="s">
        <v>58</v>
      </c>
      <c r="C20" s="90"/>
      <c r="D20" s="90" t="s">
        <v>59</v>
      </c>
      <c r="E20" s="91"/>
    </row>
    <row r="21" s="37" customFormat="1" ht="38.25" customHeight="1" spans="1:16">
      <c r="A21" s="92"/>
      <c r="B21" s="90" t="s">
        <v>60</v>
      </c>
      <c r="C21" s="93"/>
      <c r="D21" s="90" t="s">
        <v>61</v>
      </c>
      <c r="E21" s="91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="37" customFormat="1" ht="26.25" customHeight="1" spans="1:16">
      <c r="A22" s="94" t="s">
        <v>62</v>
      </c>
      <c r="B22" s="95">
        <v>0</v>
      </c>
      <c r="C22" s="96"/>
      <c r="D22" s="96"/>
      <c r="E22" s="97" t="str">
        <f>IF(B22=0,"ND",B22)</f>
        <v>ND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33.45" customHeight="1" spans="1:5">
      <c r="A23" s="98" t="s">
        <v>63</v>
      </c>
      <c r="B23" s="99" t="s">
        <v>64</v>
      </c>
      <c r="C23" s="100"/>
      <c r="D23" s="100"/>
      <c r="E23" s="101"/>
    </row>
    <row r="24" customHeight="1" spans="1:5">
      <c r="A24" s="102" t="s">
        <v>65</v>
      </c>
      <c r="B24" s="103"/>
      <c r="C24" s="103"/>
      <c r="D24" s="103"/>
      <c r="E24" s="104"/>
    </row>
    <row r="25" customHeight="1" spans="1:5">
      <c r="A25" s="41" t="s">
        <v>66</v>
      </c>
      <c r="B25" s="3"/>
      <c r="C25" s="3"/>
      <c r="D25" s="3"/>
      <c r="E25" s="3"/>
    </row>
    <row r="26" customHeight="1" spans="1:5">
      <c r="A26" s="41" t="s">
        <v>67</v>
      </c>
      <c r="B26" s="3"/>
      <c r="C26" s="3"/>
      <c r="D26" s="3"/>
      <c r="E26" s="3"/>
    </row>
    <row r="27" customHeight="1" spans="1:5">
      <c r="A27" s="41" t="s">
        <v>68</v>
      </c>
      <c r="B27" s="3"/>
      <c r="C27" s="3"/>
      <c r="D27" s="3"/>
      <c r="E27" s="3"/>
    </row>
  </sheetData>
  <sheetProtection formatCells="0" formatColumns="0" formatRows="0" sort="0" autoFilter="0" pivotTables="0"/>
  <mergeCells count="28">
    <mergeCell ref="A1:E1"/>
    <mergeCell ref="B2:E2"/>
    <mergeCell ref="B3:E3"/>
    <mergeCell ref="B4:E4"/>
    <mergeCell ref="B5:E5"/>
    <mergeCell ref="B6:E6"/>
    <mergeCell ref="B7:E7"/>
    <mergeCell ref="B8:E8"/>
    <mergeCell ref="D9:E9"/>
    <mergeCell ref="B10:E10"/>
    <mergeCell ref="B11:E11"/>
    <mergeCell ref="B12:E12"/>
    <mergeCell ref="B13:E13"/>
    <mergeCell ref="B14:E14"/>
    <mergeCell ref="B15:E15"/>
    <mergeCell ref="C19:E19"/>
    <mergeCell ref="B22:D22"/>
    <mergeCell ref="B23:E23"/>
    <mergeCell ref="A24:E24"/>
    <mergeCell ref="B25:E25"/>
    <mergeCell ref="B26:E26"/>
    <mergeCell ref="B27:E27"/>
    <mergeCell ref="A16:A19"/>
    <mergeCell ref="A20:A21"/>
    <mergeCell ref="L2:N3"/>
    <mergeCell ref="H5:J7"/>
    <mergeCell ref="L5:N7"/>
    <mergeCell ref="H2:J3"/>
  </mergeCells>
  <dataValidations count="3">
    <dataValidation type="list" allowBlank="1" showInputMessage="1" sqref="B12:E12">
      <formula1>$U$8:$U$13</formula1>
    </dataValidation>
    <dataValidation type="list" allowBlank="1" showInputMessage="1" sqref="C16">
      <formula1>$F$13:$F$15</formula1>
    </dataValidation>
    <dataValidation type="list" allowBlank="1" showInputMessage="1" sqref="C17">
      <formula1>$F$16:$F$17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373"/>
  <sheetViews>
    <sheetView workbookViewId="0">
      <selection activeCell="K8" sqref="K8"/>
    </sheetView>
  </sheetViews>
  <sheetFormatPr defaultColWidth="9" defaultRowHeight="13.8"/>
  <cols>
    <col min="1" max="1" width="9" style="2"/>
    <col min="2" max="2" width="15.1111111111111" style="3" customWidth="1"/>
    <col min="3" max="5" width="12.4444444444444" style="4" customWidth="1"/>
    <col min="6" max="6" width="14.1111111111111" style="5" customWidth="1"/>
    <col min="7" max="7" width="14.2222222222222" style="5" customWidth="1"/>
    <col min="8" max="8" width="11.4444444444444" style="5" customWidth="1"/>
    <col min="9" max="9" width="13.7777777777778" style="5" customWidth="1"/>
    <col min="10" max="14" width="11.3333333333333" style="6" customWidth="1"/>
    <col min="15" max="15" width="12.4444444444444" style="4" customWidth="1"/>
    <col min="16" max="16384" width="9" style="2"/>
  </cols>
  <sheetData>
    <row r="1" ht="20.25" customHeight="1" spans="1:15">
      <c r="A1" s="7" t="s">
        <v>69</v>
      </c>
      <c r="B1" s="7"/>
      <c r="C1" s="7"/>
      <c r="D1" s="7"/>
      <c r="E1" s="7"/>
      <c r="F1" s="7"/>
      <c r="G1" s="7"/>
      <c r="H1" s="7"/>
      <c r="I1" s="7"/>
      <c r="J1" s="26"/>
      <c r="K1" s="26"/>
      <c r="L1" s="26"/>
      <c r="M1" s="26"/>
      <c r="N1" s="26"/>
      <c r="O1" s="27"/>
    </row>
    <row r="2" s="1" customFormat="1" ht="34.2" customHeight="1" spans="1:28">
      <c r="A2" s="8" t="s">
        <v>70</v>
      </c>
      <c r="B2" s="8" t="s">
        <v>71</v>
      </c>
      <c r="C2" s="9" t="s">
        <v>72</v>
      </c>
      <c r="D2" s="9" t="s">
        <v>73</v>
      </c>
      <c r="E2" s="10" t="s">
        <v>74</v>
      </c>
      <c r="F2" s="11"/>
      <c r="G2" s="12"/>
      <c r="H2" s="10" t="s">
        <v>75</v>
      </c>
      <c r="I2" s="12"/>
      <c r="J2" s="28" t="s">
        <v>76</v>
      </c>
      <c r="K2" s="28"/>
      <c r="L2" s="28"/>
      <c r="M2" s="28"/>
      <c r="N2" s="28"/>
      <c r="O2" s="29" t="s">
        <v>77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="1" customFormat="1" ht="27.6" customHeight="1" spans="1:28">
      <c r="A3" s="13"/>
      <c r="B3" s="13"/>
      <c r="C3" s="14"/>
      <c r="D3" s="14"/>
      <c r="E3" s="15" t="s">
        <v>78</v>
      </c>
      <c r="F3" s="16"/>
      <c r="G3" s="17" t="s">
        <v>79</v>
      </c>
      <c r="H3" s="18" t="s">
        <v>80</v>
      </c>
      <c r="I3" s="18" t="s">
        <v>81</v>
      </c>
      <c r="J3" s="28" t="s">
        <v>82</v>
      </c>
      <c r="K3" s="30" t="s">
        <v>83</v>
      </c>
      <c r="L3" s="28" t="s">
        <v>84</v>
      </c>
      <c r="M3" s="28" t="s">
        <v>85</v>
      </c>
      <c r="N3" s="31" t="s">
        <v>86</v>
      </c>
      <c r="O3" s="29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="1" customFormat="1" ht="44.4" customHeight="1" spans="1:28">
      <c r="A4" s="19"/>
      <c r="B4" s="19"/>
      <c r="C4" s="20"/>
      <c r="D4" s="20"/>
      <c r="E4" s="21" t="s">
        <v>87</v>
      </c>
      <c r="F4" s="22" t="s">
        <v>88</v>
      </c>
      <c r="G4" s="23"/>
      <c r="H4" s="24"/>
      <c r="I4" s="24"/>
      <c r="J4" s="28"/>
      <c r="K4" s="32"/>
      <c r="L4" s="33"/>
      <c r="M4" s="33"/>
      <c r="N4" s="34"/>
      <c r="O4" s="29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ht="20.25" customHeight="1" spans="1:9">
      <c r="A5" s="3"/>
      <c r="F5" s="4"/>
      <c r="G5" s="25" t="str">
        <f>IFERROR(IF(ISBLANK(H5),"",IF(I5="ND","否","是")),"")</f>
        <v/>
      </c>
      <c r="H5" s="4"/>
      <c r="I5" s="4" t="str">
        <f>IFERROR(IF(H5="ND","ND",XiuYue((((H5-基础页!$B$22)*基础页!$B$15/C5)),3,-1,9999)),"")</f>
        <v/>
      </c>
    </row>
    <row r="6" ht="20.25" customHeight="1" spans="1:9">
      <c r="A6" s="3"/>
      <c r="F6" s="4"/>
      <c r="G6" s="25" t="str">
        <f t="shared" ref="G6:G69" si="0">IFERROR(IF(ISBLANK(H6),"",IF(I6="ND","否","是")),"")</f>
        <v/>
      </c>
      <c r="H6" s="4"/>
      <c r="I6" s="4" t="str">
        <f>IFERROR(IF(H6="ND","ND",XiuYue((((H6-基础页!$B$22)*基础页!$B$15/C6)),3,-1,9999)),"")</f>
        <v/>
      </c>
    </row>
    <row r="7" ht="20.25" customHeight="1" spans="1:9">
      <c r="A7" s="3"/>
      <c r="F7" s="4"/>
      <c r="G7" s="25" t="str">
        <f t="shared" si="0"/>
        <v/>
      </c>
      <c r="H7" s="4"/>
      <c r="I7" s="4" t="str">
        <f>IFERROR(IF(H7="ND","ND",XiuYue((((H7-基础页!$B$22)*基础页!$B$15/C7)),3,-1,9999)),"")</f>
        <v/>
      </c>
    </row>
    <row r="8" ht="20.25" customHeight="1" spans="1:9">
      <c r="A8" s="3"/>
      <c r="F8" s="4"/>
      <c r="G8" s="25" t="str">
        <f t="shared" si="0"/>
        <v/>
      </c>
      <c r="H8" s="4"/>
      <c r="I8" s="4" t="str">
        <f>IFERROR(IF(H8="ND","ND",XiuYue((((H8-基础页!$B$22)*基础页!$B$15/C8)),3,-1,9999)),"")</f>
        <v/>
      </c>
    </row>
    <row r="9" ht="20.25" customHeight="1" spans="1:9">
      <c r="A9" s="3"/>
      <c r="F9" s="4"/>
      <c r="G9" s="25" t="str">
        <f t="shared" si="0"/>
        <v/>
      </c>
      <c r="H9" s="4"/>
      <c r="I9" s="4" t="str">
        <f>IFERROR(IF(H9="ND","ND",XiuYue((((H9-基础页!$B$22)*基础页!$B$15/C9)),3,-1,9999)),"")</f>
        <v/>
      </c>
    </row>
    <row r="10" ht="20.25" customHeight="1" spans="1:9">
      <c r="A10" s="3"/>
      <c r="F10" s="4"/>
      <c r="G10" s="25" t="str">
        <f t="shared" si="0"/>
        <v/>
      </c>
      <c r="H10" s="4"/>
      <c r="I10" s="4" t="str">
        <f>IFERROR(IF(H10="ND","ND",XiuYue((((H10-基础页!$B$22)*基础页!$B$15/C10)),3,-1,9999)),"")</f>
        <v/>
      </c>
    </row>
    <row r="11" ht="20.25" customHeight="1" spans="1:9">
      <c r="A11" s="3"/>
      <c r="F11" s="4"/>
      <c r="G11" s="25" t="str">
        <f t="shared" si="0"/>
        <v/>
      </c>
      <c r="H11" s="4"/>
      <c r="I11" s="4" t="str">
        <f>IFERROR(IF(H11="ND","ND",XiuYue((((H11-基础页!$B$22)*基础页!$B$15/C11)),3,-1,9999)),"")</f>
        <v/>
      </c>
    </row>
    <row r="12" ht="20.25" customHeight="1" spans="1:9">
      <c r="A12" s="3"/>
      <c r="F12" s="4"/>
      <c r="G12" s="25" t="str">
        <f t="shared" si="0"/>
        <v/>
      </c>
      <c r="H12" s="4"/>
      <c r="I12" s="4" t="str">
        <f>IFERROR(IF(H12="ND","ND",XiuYue((((H12-基础页!$B$22)*基础页!$B$15/C12)),3,-1,9999)),"")</f>
        <v/>
      </c>
    </row>
    <row r="13" ht="20.25" customHeight="1" spans="1:9">
      <c r="A13" s="3"/>
      <c r="F13" s="4"/>
      <c r="G13" s="25" t="str">
        <f t="shared" si="0"/>
        <v/>
      </c>
      <c r="H13" s="4"/>
      <c r="I13" s="4" t="str">
        <f>IFERROR(IF(H13="ND","ND",XiuYue((((H13-基础页!$B$22)*基础页!$B$15/C13)),3,-1,9999)),"")</f>
        <v/>
      </c>
    </row>
    <row r="14" ht="20.25" customHeight="1" spans="1:9">
      <c r="A14" s="3"/>
      <c r="F14" s="4"/>
      <c r="G14" s="25" t="str">
        <f t="shared" si="0"/>
        <v/>
      </c>
      <c r="H14" s="4"/>
      <c r="I14" s="4" t="str">
        <f>IFERROR(IF(H14="ND","ND",XiuYue((((H14-基础页!$B$22)*基础页!$B$15/C14)),3,-1,9999)),"")</f>
        <v/>
      </c>
    </row>
    <row r="15" ht="20.25" customHeight="1" spans="1:9">
      <c r="A15" s="3"/>
      <c r="F15" s="4"/>
      <c r="G15" s="25" t="str">
        <f t="shared" si="0"/>
        <v/>
      </c>
      <c r="H15" s="4"/>
      <c r="I15" s="4" t="str">
        <f>IFERROR(IF(H15="ND","ND",XiuYue((((H15-基础页!$B$22)*基础页!$B$15/C15)),3,-1,9999)),"")</f>
        <v/>
      </c>
    </row>
    <row r="16" ht="20.25" customHeight="1" spans="1:9">
      <c r="A16" s="3"/>
      <c r="F16" s="4"/>
      <c r="G16" s="25" t="str">
        <f t="shared" si="0"/>
        <v/>
      </c>
      <c r="H16" s="4"/>
      <c r="I16" s="4" t="str">
        <f>IFERROR(IF(H16="ND","ND",XiuYue((((H16-基础页!$B$22)*基础页!$B$15/C16)),3,-1,9999)),"")</f>
        <v/>
      </c>
    </row>
    <row r="17" ht="20.25" customHeight="1" spans="1:9">
      <c r="A17" s="3"/>
      <c r="F17" s="4"/>
      <c r="G17" s="25" t="str">
        <f t="shared" si="0"/>
        <v/>
      </c>
      <c r="H17" s="4"/>
      <c r="I17" s="4" t="str">
        <f>IFERROR(IF(H17="ND","ND",XiuYue((((H17-基础页!$B$22)*基础页!$B$15/C17)),3,-1,9999)),"")</f>
        <v/>
      </c>
    </row>
    <row r="18" ht="20.25" customHeight="1" spans="1:9">
      <c r="A18" s="3"/>
      <c r="F18" s="4"/>
      <c r="G18" s="25" t="str">
        <f t="shared" si="0"/>
        <v/>
      </c>
      <c r="H18" s="4"/>
      <c r="I18" s="4" t="str">
        <f>IFERROR(IF(H18="ND","ND",XiuYue((((H18-基础页!$B$22)*基础页!$B$15/C18)),3,-1,9999)),"")</f>
        <v/>
      </c>
    </row>
    <row r="19" ht="20.25" customHeight="1" spans="1:9">
      <c r="A19" s="3"/>
      <c r="F19" s="4"/>
      <c r="G19" s="25" t="str">
        <f t="shared" si="0"/>
        <v/>
      </c>
      <c r="H19" s="4"/>
      <c r="I19" s="4" t="str">
        <f>IFERROR(IF(H19="ND","ND",XiuYue((((H19-基础页!$B$22)*基础页!$B$15/C19)),3,-1,9999)),"")</f>
        <v/>
      </c>
    </row>
    <row r="20" ht="20.25" customHeight="1" spans="1:9">
      <c r="A20" s="3"/>
      <c r="F20" s="4"/>
      <c r="G20" s="25" t="str">
        <f t="shared" si="0"/>
        <v/>
      </c>
      <c r="H20" s="4"/>
      <c r="I20" s="4" t="str">
        <f>IFERROR(IF(H20="ND","ND",XiuYue((((H20-基础页!$B$22)*基础页!$B$15/C20)),3,-1,9999)),"")</f>
        <v/>
      </c>
    </row>
    <row r="21" ht="20.25" customHeight="1" spans="1:9">
      <c r="A21" s="3"/>
      <c r="F21" s="4"/>
      <c r="G21" s="25" t="str">
        <f t="shared" si="0"/>
        <v/>
      </c>
      <c r="H21" s="4"/>
      <c r="I21" s="4" t="str">
        <f>IFERROR(IF(H21="ND","ND",XiuYue((((H21-基础页!$B$22)*基础页!$B$15/C21)),3,-1,9999)),"")</f>
        <v/>
      </c>
    </row>
    <row r="22" ht="20.25" customHeight="1" spans="1:9">
      <c r="A22" s="3"/>
      <c r="F22" s="4"/>
      <c r="G22" s="25" t="str">
        <f t="shared" si="0"/>
        <v/>
      </c>
      <c r="H22" s="4"/>
      <c r="I22" s="4" t="str">
        <f>IFERROR(IF(H22="ND","ND",XiuYue((((H22-基础页!$B$22)*基础页!$B$15/C22)),3,-1,9999)),"")</f>
        <v/>
      </c>
    </row>
    <row r="23" ht="20.25" customHeight="1" spans="1:9">
      <c r="A23" s="3"/>
      <c r="F23" s="4"/>
      <c r="G23" s="25" t="str">
        <f t="shared" si="0"/>
        <v/>
      </c>
      <c r="H23" s="4"/>
      <c r="I23" s="4" t="str">
        <f>IFERROR(IF(H23="ND","ND",XiuYue((((H23-基础页!$B$22)*基础页!$B$15/C23)),3,-1,9999)),"")</f>
        <v/>
      </c>
    </row>
    <row r="24" ht="20.25" customHeight="1" spans="1:9">
      <c r="A24" s="3"/>
      <c r="F24" s="4"/>
      <c r="G24" s="25" t="str">
        <f t="shared" si="0"/>
        <v/>
      </c>
      <c r="H24" s="4"/>
      <c r="I24" s="4" t="str">
        <f>IFERROR(IF(H24="ND","ND",XiuYue((((H24-基础页!$B$22)*基础页!$B$15/C24)),3,-1,9999)),"")</f>
        <v/>
      </c>
    </row>
    <row r="25" ht="20.25" customHeight="1" spans="1:9">
      <c r="A25" s="3"/>
      <c r="F25" s="4"/>
      <c r="G25" s="25" t="str">
        <f t="shared" si="0"/>
        <v/>
      </c>
      <c r="H25" s="4"/>
      <c r="I25" s="4" t="str">
        <f>IFERROR(IF(H25="ND","ND",XiuYue((((H25-基础页!$B$22)*基础页!$B$15/C25)),3,-1,9999)),"")</f>
        <v/>
      </c>
    </row>
    <row r="26" ht="20.25" customHeight="1" spans="1:9">
      <c r="A26" s="3"/>
      <c r="F26" s="4"/>
      <c r="G26" s="25" t="str">
        <f t="shared" si="0"/>
        <v/>
      </c>
      <c r="H26" s="4"/>
      <c r="I26" s="4" t="str">
        <f>IFERROR(IF(H26="ND","ND",XiuYue((((H26-基础页!$B$22)*基础页!$B$15/C26)),3,-1,9999)),"")</f>
        <v/>
      </c>
    </row>
    <row r="27" ht="20.25" customHeight="1" spans="1:9">
      <c r="A27" s="3"/>
      <c r="F27" s="4"/>
      <c r="G27" s="25" t="str">
        <f t="shared" si="0"/>
        <v/>
      </c>
      <c r="H27" s="4"/>
      <c r="I27" s="4" t="str">
        <f>IFERROR(IF(H27="ND","ND",XiuYue((((H27-基础页!$B$22)*基础页!$B$15/C27)),3,-1,9999)),"")</f>
        <v/>
      </c>
    </row>
    <row r="28" ht="20.25" customHeight="1" spans="1:9">
      <c r="A28" s="3"/>
      <c r="F28" s="4"/>
      <c r="G28" s="25" t="str">
        <f t="shared" si="0"/>
        <v/>
      </c>
      <c r="H28" s="4"/>
      <c r="I28" s="4" t="str">
        <f>IFERROR(IF(H28="ND","ND",XiuYue((((H28-基础页!$B$22)*基础页!$B$15/C28)),3,-1,9999)),"")</f>
        <v/>
      </c>
    </row>
    <row r="29" ht="20.25" customHeight="1" spans="1:9">
      <c r="A29" s="3"/>
      <c r="F29" s="4"/>
      <c r="G29" s="25" t="str">
        <f t="shared" si="0"/>
        <v/>
      </c>
      <c r="H29" s="4"/>
      <c r="I29" s="4" t="str">
        <f>IFERROR(IF(H29="ND","ND",XiuYue((((H29-基础页!$B$22)*基础页!$B$15/C29)),3,-1,9999)),"")</f>
        <v/>
      </c>
    </row>
    <row r="30" ht="20.25" customHeight="1" spans="1:9">
      <c r="A30" s="3"/>
      <c r="F30" s="4"/>
      <c r="G30" s="25" t="str">
        <f t="shared" si="0"/>
        <v/>
      </c>
      <c r="H30" s="4"/>
      <c r="I30" s="4" t="str">
        <f>IFERROR(IF(H30="ND","ND",XiuYue((((H30-基础页!$B$22)*基础页!$B$15/C30)),3,-1,9999)),"")</f>
        <v/>
      </c>
    </row>
    <row r="31" ht="20.25" customHeight="1" spans="1:9">
      <c r="A31" s="3"/>
      <c r="F31" s="4"/>
      <c r="G31" s="25" t="str">
        <f t="shared" si="0"/>
        <v/>
      </c>
      <c r="H31" s="4"/>
      <c r="I31" s="4" t="str">
        <f>IFERROR(IF(H31="ND","ND",XiuYue((((H31-基础页!$B$22)*基础页!$B$15/C31)),3,-1,9999)),"")</f>
        <v/>
      </c>
    </row>
    <row r="32" ht="20.25" customHeight="1" spans="1:9">
      <c r="A32" s="3"/>
      <c r="F32" s="4"/>
      <c r="G32" s="25" t="str">
        <f t="shared" si="0"/>
        <v/>
      </c>
      <c r="H32" s="4"/>
      <c r="I32" s="4" t="str">
        <f>IFERROR(IF(H32="ND","ND",XiuYue((((H32-基础页!$B$22)*基础页!$B$15/C32)),3,-1,9999)),"")</f>
        <v/>
      </c>
    </row>
    <row r="33" ht="20.25" customHeight="1" spans="1:9">
      <c r="A33" s="3"/>
      <c r="F33" s="4"/>
      <c r="G33" s="25" t="str">
        <f t="shared" si="0"/>
        <v/>
      </c>
      <c r="H33" s="4"/>
      <c r="I33" s="4" t="str">
        <f>IFERROR(IF(H33="ND","ND",XiuYue((((H33-基础页!$B$22)*基础页!$B$15/C33)),3,-1,9999)),"")</f>
        <v/>
      </c>
    </row>
    <row r="34" ht="20.25" customHeight="1" spans="1:9">
      <c r="A34" s="3"/>
      <c r="F34" s="4"/>
      <c r="G34" s="25" t="str">
        <f t="shared" si="0"/>
        <v/>
      </c>
      <c r="H34" s="4"/>
      <c r="I34" s="4" t="str">
        <f>IFERROR(IF(H34="ND","ND",XiuYue((((H34-基础页!$B$22)*基础页!$B$15/C34)),3,-1,9999)),"")</f>
        <v/>
      </c>
    </row>
    <row r="35" ht="20.25" customHeight="1" spans="1:9">
      <c r="A35" s="3"/>
      <c r="F35" s="4"/>
      <c r="G35" s="25" t="str">
        <f t="shared" si="0"/>
        <v/>
      </c>
      <c r="H35" s="4"/>
      <c r="I35" s="4" t="str">
        <f>IFERROR(IF(H35="ND","ND",XiuYue((((H35-基础页!$B$22)*基础页!$B$15/C35)),3,-1,9999)),"")</f>
        <v/>
      </c>
    </row>
    <row r="36" ht="20.25" customHeight="1" spans="1:9">
      <c r="A36" s="3"/>
      <c r="F36" s="4"/>
      <c r="G36" s="25" t="str">
        <f t="shared" si="0"/>
        <v/>
      </c>
      <c r="H36" s="4"/>
      <c r="I36" s="4" t="str">
        <f>IFERROR(IF(H36="ND","ND",XiuYue((((H36-基础页!$B$22)*基础页!$B$15/C36)),3,-1,9999)),"")</f>
        <v/>
      </c>
    </row>
    <row r="37" ht="20.25" customHeight="1" spans="1:9">
      <c r="A37" s="3"/>
      <c r="F37" s="4"/>
      <c r="G37" s="25" t="str">
        <f t="shared" si="0"/>
        <v/>
      </c>
      <c r="H37" s="4"/>
      <c r="I37" s="4" t="str">
        <f>IFERROR(IF(H37="ND","ND",XiuYue((((H37-基础页!$B$22)*基础页!$B$15/C37)),3,-1,9999)),"")</f>
        <v/>
      </c>
    </row>
    <row r="38" ht="20.25" customHeight="1" spans="1:9">
      <c r="A38" s="3"/>
      <c r="F38" s="4"/>
      <c r="G38" s="25" t="str">
        <f t="shared" si="0"/>
        <v/>
      </c>
      <c r="H38" s="4"/>
      <c r="I38" s="4" t="str">
        <f>IFERROR(IF(H38="ND","ND",XiuYue((((H38-基础页!$B$22)*基础页!$B$15/C38)),3,-1,9999)),"")</f>
        <v/>
      </c>
    </row>
    <row r="39" ht="20.25" customHeight="1" spans="1:9">
      <c r="A39" s="3"/>
      <c r="F39" s="4"/>
      <c r="G39" s="25" t="str">
        <f t="shared" si="0"/>
        <v/>
      </c>
      <c r="H39" s="4"/>
      <c r="I39" s="4" t="str">
        <f>IFERROR(IF(H39="ND","ND",XiuYue((((H39-基础页!$B$22)*基础页!$B$15/C39)),3,-1,9999)),"")</f>
        <v/>
      </c>
    </row>
    <row r="40" ht="20.25" customHeight="1" spans="1:9">
      <c r="A40" s="3"/>
      <c r="F40" s="4"/>
      <c r="G40" s="25" t="str">
        <f t="shared" si="0"/>
        <v/>
      </c>
      <c r="H40" s="4"/>
      <c r="I40" s="4" t="str">
        <f>IFERROR(IF(H40="ND","ND",XiuYue((((H40-基础页!$B$22)*基础页!$B$15/C40)),3,-1,9999)),"")</f>
        <v/>
      </c>
    </row>
    <row r="41" ht="20.25" customHeight="1" spans="1:9">
      <c r="A41" s="3"/>
      <c r="F41" s="4"/>
      <c r="G41" s="25" t="str">
        <f t="shared" si="0"/>
        <v/>
      </c>
      <c r="H41" s="4"/>
      <c r="I41" s="4" t="str">
        <f>IFERROR(IF(H41="ND","ND",XiuYue((((H41-基础页!$B$22)*基础页!$B$15/C41)),3,-1,9999)),"")</f>
        <v/>
      </c>
    </row>
    <row r="42" ht="20.25" customHeight="1" spans="1:9">
      <c r="A42" s="3"/>
      <c r="F42" s="4"/>
      <c r="G42" s="25" t="str">
        <f t="shared" si="0"/>
        <v/>
      </c>
      <c r="H42" s="4"/>
      <c r="I42" s="4" t="str">
        <f>IFERROR(IF(H42="ND","ND",XiuYue((((H42-基础页!$B$22)*基础页!$B$15/C42)),3,-1,9999)),"")</f>
        <v/>
      </c>
    </row>
    <row r="43" ht="20.25" customHeight="1" spans="1:9">
      <c r="A43" s="3"/>
      <c r="F43" s="4"/>
      <c r="G43" s="25" t="str">
        <f t="shared" si="0"/>
        <v/>
      </c>
      <c r="H43" s="4"/>
      <c r="I43" s="4" t="str">
        <f>IFERROR(IF(H43="ND","ND",XiuYue((((H43-基础页!$B$22)*基础页!$B$15/C43)),3,-1,9999)),"")</f>
        <v/>
      </c>
    </row>
    <row r="44" ht="20.25" customHeight="1" spans="1:9">
      <c r="A44" s="3"/>
      <c r="F44" s="4"/>
      <c r="G44" s="25" t="str">
        <f t="shared" si="0"/>
        <v/>
      </c>
      <c r="H44" s="4"/>
      <c r="I44" s="4" t="str">
        <f>IFERROR(IF(H44="ND","ND",XiuYue((((H44-基础页!$B$22)*基础页!$B$15/C44)),3,-1,9999)),"")</f>
        <v/>
      </c>
    </row>
    <row r="45" ht="20.25" customHeight="1" spans="1:9">
      <c r="A45" s="3"/>
      <c r="F45" s="4"/>
      <c r="G45" s="25" t="str">
        <f t="shared" si="0"/>
        <v/>
      </c>
      <c r="H45" s="4"/>
      <c r="I45" s="4" t="str">
        <f>IFERROR(IF(H45="ND","ND",XiuYue((((H45-基础页!$B$22)*基础页!$B$15/C45)),3,-1,9999)),"")</f>
        <v/>
      </c>
    </row>
    <row r="46" ht="20.25" customHeight="1" spans="1:9">
      <c r="A46" s="3"/>
      <c r="F46" s="4"/>
      <c r="G46" s="25" t="str">
        <f t="shared" si="0"/>
        <v/>
      </c>
      <c r="H46" s="4"/>
      <c r="I46" s="4" t="str">
        <f>IFERROR(IF(H46="ND","ND",XiuYue((((H46-基础页!$B$22)*基础页!$B$15/C46)),3,-1,9999)),"")</f>
        <v/>
      </c>
    </row>
    <row r="47" ht="20.25" customHeight="1" spans="1:9">
      <c r="A47" s="3"/>
      <c r="F47" s="4"/>
      <c r="G47" s="25" t="str">
        <f t="shared" si="0"/>
        <v/>
      </c>
      <c r="H47" s="4"/>
      <c r="I47" s="4" t="str">
        <f>IFERROR(IF(H47="ND","ND",XiuYue((((H47-基础页!$B$22)*基础页!$B$15/C47)),3,-1,9999)),"")</f>
        <v/>
      </c>
    </row>
    <row r="48" ht="20.25" customHeight="1" spans="1:9">
      <c r="A48" s="3"/>
      <c r="F48" s="4"/>
      <c r="G48" s="25" t="str">
        <f t="shared" si="0"/>
        <v/>
      </c>
      <c r="H48" s="4"/>
      <c r="I48" s="4" t="str">
        <f>IFERROR(IF(H48="ND","ND",XiuYue((((H48-基础页!$B$22)*基础页!$B$15/C48)),3,-1,9999)),"")</f>
        <v/>
      </c>
    </row>
    <row r="49" ht="20.25" customHeight="1" spans="1:9">
      <c r="A49" s="3"/>
      <c r="F49" s="4"/>
      <c r="G49" s="25" t="str">
        <f t="shared" si="0"/>
        <v/>
      </c>
      <c r="H49" s="4"/>
      <c r="I49" s="4" t="str">
        <f>IFERROR(IF(H49="ND","ND",XiuYue((((H49-基础页!$B$22)*基础页!$B$15/C49)),3,-1,9999)),"")</f>
        <v/>
      </c>
    </row>
    <row r="50" ht="20.25" customHeight="1" spans="1:9">
      <c r="A50" s="3"/>
      <c r="F50" s="4"/>
      <c r="G50" s="25" t="str">
        <f t="shared" si="0"/>
        <v/>
      </c>
      <c r="H50" s="4"/>
      <c r="I50" s="4" t="str">
        <f>IFERROR(IF(H50="ND","ND",XiuYue((((H50-基础页!$B$22)*基础页!$B$15/C50)),3,-1,9999)),"")</f>
        <v/>
      </c>
    </row>
    <row r="51" ht="20.25" customHeight="1" spans="1:9">
      <c r="A51" s="3"/>
      <c r="F51" s="4"/>
      <c r="G51" s="25" t="str">
        <f t="shared" si="0"/>
        <v/>
      </c>
      <c r="H51" s="4"/>
      <c r="I51" s="4" t="str">
        <f>IFERROR(IF(H51="ND","ND",XiuYue((((H51-基础页!$B$22)*基础页!$B$15/C51)),3,-1,9999)),"")</f>
        <v/>
      </c>
    </row>
    <row r="52" ht="20.25" customHeight="1" spans="1:9">
      <c r="A52" s="3"/>
      <c r="F52" s="4"/>
      <c r="G52" s="25" t="str">
        <f t="shared" si="0"/>
        <v/>
      </c>
      <c r="H52" s="4"/>
      <c r="I52" s="4" t="str">
        <f>IFERROR(IF(H52="ND","ND",XiuYue((((H52-基础页!$B$22)*基础页!$B$15/C52)),3,-1,9999)),"")</f>
        <v/>
      </c>
    </row>
    <row r="53" ht="20.25" customHeight="1" spans="1:9">
      <c r="A53" s="3"/>
      <c r="F53" s="4"/>
      <c r="G53" s="25" t="str">
        <f t="shared" si="0"/>
        <v/>
      </c>
      <c r="H53" s="4"/>
      <c r="I53" s="4" t="str">
        <f>IFERROR(IF(H53="ND","ND",XiuYue((((H53-基础页!$B$22)*基础页!$B$15/C53)),3,-1,9999)),"")</f>
        <v/>
      </c>
    </row>
    <row r="54" ht="20.25" customHeight="1" spans="1:9">
      <c r="A54" s="3"/>
      <c r="F54" s="4"/>
      <c r="G54" s="25" t="str">
        <f t="shared" si="0"/>
        <v/>
      </c>
      <c r="H54" s="4"/>
      <c r="I54" s="4" t="str">
        <f>IFERROR(IF(H54="ND","ND",XiuYue((((H54-基础页!$B$22)*基础页!$B$15/C54)),3,-1,9999)),"")</f>
        <v/>
      </c>
    </row>
    <row r="55" ht="20.25" customHeight="1" spans="1:9">
      <c r="A55" s="3"/>
      <c r="F55" s="4"/>
      <c r="G55" s="25" t="str">
        <f t="shared" si="0"/>
        <v/>
      </c>
      <c r="H55" s="4"/>
      <c r="I55" s="4" t="str">
        <f>IFERROR(IF(H55="ND","ND",XiuYue((((H55-基础页!$B$22)*基础页!$B$15/C55)),3,-1,9999)),"")</f>
        <v/>
      </c>
    </row>
    <row r="56" ht="20.25" customHeight="1" spans="1:9">
      <c r="A56" s="3"/>
      <c r="F56" s="4"/>
      <c r="G56" s="25" t="str">
        <f t="shared" si="0"/>
        <v/>
      </c>
      <c r="H56" s="4"/>
      <c r="I56" s="4" t="str">
        <f>IFERROR(IF(H56="ND","ND",XiuYue((((H56-基础页!$B$22)*基础页!$B$15/C56)),3,-1,9999)),"")</f>
        <v/>
      </c>
    </row>
    <row r="57" ht="20.25" customHeight="1" spans="1:9">
      <c r="A57" s="3"/>
      <c r="F57" s="4"/>
      <c r="G57" s="25" t="str">
        <f t="shared" si="0"/>
        <v/>
      </c>
      <c r="H57" s="4"/>
      <c r="I57" s="4" t="str">
        <f>IFERROR(IF(H57="ND","ND",XiuYue((((H57-基础页!$B$22)*基础页!$B$15/C57)),3,-1,9999)),"")</f>
        <v/>
      </c>
    </row>
    <row r="58" ht="20.25" customHeight="1" spans="1:9">
      <c r="A58" s="3"/>
      <c r="F58" s="4"/>
      <c r="G58" s="25" t="str">
        <f t="shared" si="0"/>
        <v/>
      </c>
      <c r="H58" s="4"/>
      <c r="I58" s="4" t="str">
        <f>IFERROR(IF(H58="ND","ND",XiuYue((((H58-基础页!$B$22)*基础页!$B$15/C58)),3,-1,9999)),"")</f>
        <v/>
      </c>
    </row>
    <row r="59" ht="20.25" customHeight="1" spans="1:9">
      <c r="A59" s="3"/>
      <c r="F59" s="4"/>
      <c r="G59" s="25" t="str">
        <f t="shared" si="0"/>
        <v/>
      </c>
      <c r="H59" s="4"/>
      <c r="I59" s="4" t="str">
        <f>IFERROR(IF(H59="ND","ND",XiuYue((((H59-基础页!$B$22)*基础页!$B$15/C59)),3,-1,9999)),"")</f>
        <v/>
      </c>
    </row>
    <row r="60" ht="20.25" customHeight="1" spans="1:9">
      <c r="A60" s="3"/>
      <c r="F60" s="4"/>
      <c r="G60" s="25" t="str">
        <f t="shared" si="0"/>
        <v/>
      </c>
      <c r="H60" s="4"/>
      <c r="I60" s="4" t="str">
        <f>IFERROR(IF(H60="ND","ND",XiuYue((((H60-基础页!$B$22)*基础页!$B$15/C60)),3,-1,9999)),"")</f>
        <v/>
      </c>
    </row>
    <row r="61" ht="20.25" customHeight="1" spans="1:9">
      <c r="A61" s="3"/>
      <c r="F61" s="4"/>
      <c r="G61" s="25" t="str">
        <f t="shared" si="0"/>
        <v/>
      </c>
      <c r="H61" s="4"/>
      <c r="I61" s="4" t="str">
        <f>IFERROR(IF(H61="ND","ND",XiuYue((((H61-基础页!$B$22)*基础页!$B$15/C61)),3,-1,9999)),"")</f>
        <v/>
      </c>
    </row>
    <row r="62" ht="20.25" customHeight="1" spans="1:9">
      <c r="A62" s="3"/>
      <c r="F62" s="4"/>
      <c r="G62" s="25" t="str">
        <f t="shared" si="0"/>
        <v/>
      </c>
      <c r="H62" s="4"/>
      <c r="I62" s="4" t="str">
        <f>IFERROR(IF(H62="ND","ND",XiuYue((((H62-基础页!$B$22)*基础页!$B$15/C62)),3,-1,9999)),"")</f>
        <v/>
      </c>
    </row>
    <row r="63" ht="20.25" customHeight="1" spans="1:9">
      <c r="A63" s="3"/>
      <c r="F63" s="4"/>
      <c r="G63" s="25" t="str">
        <f t="shared" si="0"/>
        <v/>
      </c>
      <c r="H63" s="4"/>
      <c r="I63" s="4" t="str">
        <f>IFERROR(IF(H63="ND","ND",XiuYue((((H63-基础页!$B$22)*基础页!$B$15/C63)),3,-1,9999)),"")</f>
        <v/>
      </c>
    </row>
    <row r="64" ht="20.25" customHeight="1" spans="1:9">
      <c r="A64" s="3"/>
      <c r="F64" s="4"/>
      <c r="G64" s="25" t="str">
        <f t="shared" si="0"/>
        <v/>
      </c>
      <c r="H64" s="4"/>
      <c r="I64" s="4" t="str">
        <f>IFERROR(IF(H64="ND","ND",XiuYue((((H64-基础页!$B$22)*基础页!$B$15/C64)),3,-1,9999)),"")</f>
        <v/>
      </c>
    </row>
    <row r="65" ht="20.25" customHeight="1" spans="1:9">
      <c r="A65" s="3"/>
      <c r="F65" s="4"/>
      <c r="G65" s="25" t="str">
        <f t="shared" si="0"/>
        <v/>
      </c>
      <c r="H65" s="4"/>
      <c r="I65" s="4" t="str">
        <f>IFERROR(IF(H65="ND","ND",XiuYue((((H65-基础页!$B$22)*基础页!$B$15/C65)),3,-1,9999)),"")</f>
        <v/>
      </c>
    </row>
    <row r="66" ht="20.25" customHeight="1" spans="1:9">
      <c r="A66" s="3"/>
      <c r="F66" s="4"/>
      <c r="G66" s="25" t="str">
        <f t="shared" si="0"/>
        <v/>
      </c>
      <c r="H66" s="4"/>
      <c r="I66" s="4" t="str">
        <f>IFERROR(IF(H66="ND","ND",XiuYue((((H66-基础页!$B$22)*基础页!$B$15/C66)),3,-1,9999)),"")</f>
        <v/>
      </c>
    </row>
    <row r="67" ht="20.25" customHeight="1" spans="1:9">
      <c r="A67" s="3"/>
      <c r="F67" s="4"/>
      <c r="G67" s="25" t="str">
        <f t="shared" si="0"/>
        <v/>
      </c>
      <c r="H67" s="4"/>
      <c r="I67" s="4" t="str">
        <f>IFERROR(IF(H67="ND","ND",XiuYue((((H67-基础页!$B$22)*基础页!$B$15/C67)),3,-1,9999)),"")</f>
        <v/>
      </c>
    </row>
    <row r="68" ht="20.25" customHeight="1" spans="1:9">
      <c r="A68" s="3"/>
      <c r="F68" s="4"/>
      <c r="G68" s="25" t="str">
        <f t="shared" si="0"/>
        <v/>
      </c>
      <c r="H68" s="4"/>
      <c r="I68" s="4" t="str">
        <f>IFERROR(IF(H68="ND","ND",XiuYue((((H68-基础页!$B$22)*基础页!$B$15/C68)),3,-1,9999)),"")</f>
        <v/>
      </c>
    </row>
    <row r="69" ht="20.25" customHeight="1" spans="1:9">
      <c r="A69" s="3"/>
      <c r="F69" s="4"/>
      <c r="G69" s="25" t="str">
        <f t="shared" si="0"/>
        <v/>
      </c>
      <c r="H69" s="4"/>
      <c r="I69" s="4" t="str">
        <f>IFERROR(IF(H69="ND","ND",XiuYue((((H69-基础页!$B$22)*基础页!$B$15/C69)),3,-1,9999)),"")</f>
        <v/>
      </c>
    </row>
    <row r="70" ht="20.25" customHeight="1" spans="1:9">
      <c r="A70" s="3"/>
      <c r="F70" s="4"/>
      <c r="G70" s="25" t="str">
        <f t="shared" ref="G70:G133" si="1">IFERROR(IF(ISBLANK(H70),"",IF(I70="ND","否","是")),"")</f>
        <v/>
      </c>
      <c r="H70" s="4"/>
      <c r="I70" s="4" t="str">
        <f>IFERROR(IF(H70="ND","ND",XiuYue((((H70-基础页!$B$22)*基础页!$B$15/C70)),3,-1,9999)),"")</f>
        <v/>
      </c>
    </row>
    <row r="71" ht="20.25" customHeight="1" spans="1:9">
      <c r="A71" s="3"/>
      <c r="F71" s="4"/>
      <c r="G71" s="25" t="str">
        <f t="shared" si="1"/>
        <v/>
      </c>
      <c r="H71" s="4"/>
      <c r="I71" s="4" t="str">
        <f>IFERROR(IF(H71="ND","ND",XiuYue((((H71-基础页!$B$22)*基础页!$B$15/C71)),3,-1,9999)),"")</f>
        <v/>
      </c>
    </row>
    <row r="72" ht="20.25" customHeight="1" spans="1:9">
      <c r="A72" s="3"/>
      <c r="F72" s="4"/>
      <c r="G72" s="25" t="str">
        <f t="shared" si="1"/>
        <v/>
      </c>
      <c r="H72" s="4"/>
      <c r="I72" s="4" t="str">
        <f>IFERROR(IF(H72="ND","ND",XiuYue((((H72-基础页!$B$22)*基础页!$B$15/C72)),3,-1,9999)),"")</f>
        <v/>
      </c>
    </row>
    <row r="73" ht="20.25" customHeight="1" spans="1:9">
      <c r="A73" s="3"/>
      <c r="F73" s="4"/>
      <c r="G73" s="25" t="str">
        <f t="shared" si="1"/>
        <v/>
      </c>
      <c r="H73" s="4"/>
      <c r="I73" s="4" t="str">
        <f>IFERROR(IF(H73="ND","ND",XiuYue((((H73-基础页!$B$22)*基础页!$B$15/C73)),3,-1,9999)),"")</f>
        <v/>
      </c>
    </row>
    <row r="74" ht="20.25" customHeight="1" spans="1:9">
      <c r="A74" s="3"/>
      <c r="F74" s="4"/>
      <c r="G74" s="25" t="str">
        <f t="shared" si="1"/>
        <v/>
      </c>
      <c r="H74" s="4"/>
      <c r="I74" s="4" t="str">
        <f>IFERROR(IF(H74="ND","ND",XiuYue((((H74-基础页!$B$22)*基础页!$B$15/C74)),3,-1,9999)),"")</f>
        <v/>
      </c>
    </row>
    <row r="75" ht="20.25" customHeight="1" spans="1:9">
      <c r="A75" s="3"/>
      <c r="F75" s="4"/>
      <c r="G75" s="25" t="str">
        <f t="shared" si="1"/>
        <v/>
      </c>
      <c r="H75" s="4"/>
      <c r="I75" s="4" t="str">
        <f>IFERROR(IF(H75="ND","ND",XiuYue((((H75-基础页!$B$22)*基础页!$B$15/C75)),3,-1,9999)),"")</f>
        <v/>
      </c>
    </row>
    <row r="76" ht="20.25" customHeight="1" spans="1:9">
      <c r="A76" s="3"/>
      <c r="F76" s="4"/>
      <c r="G76" s="25" t="str">
        <f t="shared" si="1"/>
        <v/>
      </c>
      <c r="H76" s="4"/>
      <c r="I76" s="4" t="str">
        <f>IFERROR(IF(H76="ND","ND",XiuYue((((H76-基础页!$B$22)*基础页!$B$15/C76)),3,-1,9999)),"")</f>
        <v/>
      </c>
    </row>
    <row r="77" ht="20.25" customHeight="1" spans="1:9">
      <c r="A77" s="3"/>
      <c r="F77" s="4"/>
      <c r="G77" s="25" t="str">
        <f t="shared" si="1"/>
        <v/>
      </c>
      <c r="H77" s="4"/>
      <c r="I77" s="4" t="str">
        <f>IFERROR(IF(H77="ND","ND",XiuYue((((H77-基础页!$B$22)*基础页!$B$15/C77)),3,-1,9999)),"")</f>
        <v/>
      </c>
    </row>
    <row r="78" ht="20.25" customHeight="1" spans="1:9">
      <c r="A78" s="3"/>
      <c r="F78" s="4"/>
      <c r="G78" s="25" t="str">
        <f t="shared" si="1"/>
        <v/>
      </c>
      <c r="H78" s="4"/>
      <c r="I78" s="4" t="str">
        <f>IFERROR(IF(H78="ND","ND",XiuYue((((H78-基础页!$B$22)*基础页!$B$15/C78)),3,-1,9999)),"")</f>
        <v/>
      </c>
    </row>
    <row r="79" ht="20.25" customHeight="1" spans="1:9">
      <c r="A79" s="3"/>
      <c r="F79" s="4"/>
      <c r="G79" s="25" t="str">
        <f t="shared" si="1"/>
        <v/>
      </c>
      <c r="H79" s="4"/>
      <c r="I79" s="4" t="str">
        <f>IFERROR(IF(H79="ND","ND",XiuYue((((H79-基础页!$B$22)*基础页!$B$15/C79)),3,-1,9999)),"")</f>
        <v/>
      </c>
    </row>
    <row r="80" ht="20.25" customHeight="1" spans="1:9">
      <c r="A80" s="3"/>
      <c r="F80" s="4"/>
      <c r="G80" s="25" t="str">
        <f t="shared" si="1"/>
        <v/>
      </c>
      <c r="H80" s="4"/>
      <c r="I80" s="4" t="str">
        <f>IFERROR(IF(H80="ND","ND",XiuYue((((H80-基础页!$B$22)*基础页!$B$15/C80)),3,-1,9999)),"")</f>
        <v/>
      </c>
    </row>
    <row r="81" ht="20.25" customHeight="1" spans="1:9">
      <c r="A81" s="3"/>
      <c r="F81" s="4"/>
      <c r="G81" s="25" t="str">
        <f t="shared" si="1"/>
        <v/>
      </c>
      <c r="H81" s="4"/>
      <c r="I81" s="4" t="str">
        <f>IFERROR(IF(H81="ND","ND",XiuYue((((H81-基础页!$B$22)*基础页!$B$15/C81)),3,-1,9999)),"")</f>
        <v/>
      </c>
    </row>
    <row r="82" ht="20.25" customHeight="1" spans="1:9">
      <c r="A82" s="3"/>
      <c r="F82" s="4"/>
      <c r="G82" s="25" t="str">
        <f t="shared" si="1"/>
        <v/>
      </c>
      <c r="H82" s="4"/>
      <c r="I82" s="4" t="str">
        <f>IFERROR(IF(H82="ND","ND",XiuYue((((H82-基础页!$B$22)*基础页!$B$15/C82)),3,-1,9999)),"")</f>
        <v/>
      </c>
    </row>
    <row r="83" ht="20.25" customHeight="1" spans="1:9">
      <c r="A83" s="3"/>
      <c r="F83" s="4"/>
      <c r="G83" s="25" t="str">
        <f t="shared" si="1"/>
        <v/>
      </c>
      <c r="H83" s="4"/>
      <c r="I83" s="4" t="str">
        <f>IFERROR(IF(H83="ND","ND",XiuYue((((H83-基础页!$B$22)*基础页!$B$15/C83)),3,-1,9999)),"")</f>
        <v/>
      </c>
    </row>
    <row r="84" ht="20.25" customHeight="1" spans="1:9">
      <c r="A84" s="3"/>
      <c r="F84" s="4"/>
      <c r="G84" s="25" t="str">
        <f t="shared" si="1"/>
        <v/>
      </c>
      <c r="H84" s="4"/>
      <c r="I84" s="4" t="str">
        <f>IFERROR(IF(H84="ND","ND",XiuYue((((H84-基础页!$B$22)*基础页!$B$15/C84)),3,-1,9999)),"")</f>
        <v/>
      </c>
    </row>
    <row r="85" ht="20.25" customHeight="1" spans="1:9">
      <c r="A85" s="3"/>
      <c r="F85" s="4"/>
      <c r="G85" s="25" t="str">
        <f t="shared" si="1"/>
        <v/>
      </c>
      <c r="H85" s="4"/>
      <c r="I85" s="4" t="str">
        <f>IFERROR(IF(H85="ND","ND",XiuYue((((H85-基础页!$B$22)*基础页!$B$15/C85)),3,-1,9999)),"")</f>
        <v/>
      </c>
    </row>
    <row r="86" ht="20.25" customHeight="1" spans="1:9">
      <c r="A86" s="3"/>
      <c r="F86" s="4"/>
      <c r="G86" s="25" t="str">
        <f t="shared" si="1"/>
        <v/>
      </c>
      <c r="H86" s="4"/>
      <c r="I86" s="4" t="str">
        <f>IFERROR(IF(H86="ND","ND",XiuYue((((H86-基础页!$B$22)*基础页!$B$15/C86)),3,-1,9999)),"")</f>
        <v/>
      </c>
    </row>
    <row r="87" ht="20.25" customHeight="1" spans="1:9">
      <c r="A87" s="3"/>
      <c r="F87" s="4"/>
      <c r="G87" s="25" t="str">
        <f t="shared" si="1"/>
        <v/>
      </c>
      <c r="H87" s="4"/>
      <c r="I87" s="4" t="str">
        <f>IFERROR(IF(H87="ND","ND",XiuYue((((H87-基础页!$B$22)*基础页!$B$15/C87)),3,-1,9999)),"")</f>
        <v/>
      </c>
    </row>
    <row r="88" ht="20.25" customHeight="1" spans="1:9">
      <c r="A88" s="3"/>
      <c r="F88" s="4"/>
      <c r="G88" s="25" t="str">
        <f t="shared" si="1"/>
        <v/>
      </c>
      <c r="H88" s="4"/>
      <c r="I88" s="4" t="str">
        <f>IFERROR(IF(H88="ND","ND",XiuYue((((H88-基础页!$B$22)*基础页!$B$15/C88)),3,-1,9999)),"")</f>
        <v/>
      </c>
    </row>
    <row r="89" ht="20.25" customHeight="1" spans="1:9">
      <c r="A89" s="3"/>
      <c r="F89" s="4"/>
      <c r="G89" s="25" t="str">
        <f t="shared" si="1"/>
        <v/>
      </c>
      <c r="H89" s="4"/>
      <c r="I89" s="4" t="str">
        <f>IFERROR(IF(H89="ND","ND",XiuYue((((H89-基础页!$B$22)*基础页!$B$15/C89)),3,-1,9999)),"")</f>
        <v/>
      </c>
    </row>
    <row r="90" ht="20.25" customHeight="1" spans="1:9">
      <c r="A90" s="35"/>
      <c r="F90" s="4"/>
      <c r="G90" s="25" t="str">
        <f t="shared" si="1"/>
        <v/>
      </c>
      <c r="H90" s="4"/>
      <c r="I90" s="4" t="str">
        <f>IFERROR(IF(H90="ND","ND",XiuYue((((H90-基础页!$B$22)*基础页!$B$15/C90)),3,-1,9999)),"")</f>
        <v/>
      </c>
    </row>
    <row r="91" ht="20.25" customHeight="1" spans="1:9">
      <c r="A91" s="35"/>
      <c r="F91" s="4"/>
      <c r="G91" s="25" t="str">
        <f t="shared" si="1"/>
        <v/>
      </c>
      <c r="H91" s="4"/>
      <c r="I91" s="4" t="str">
        <f>IFERROR(IF(H91="ND","ND",XiuYue((((H91-基础页!$B$22)*基础页!$B$15/C91)),3,-1,9999)),"")</f>
        <v/>
      </c>
    </row>
    <row r="92" ht="20.25" customHeight="1" spans="1:9">
      <c r="A92" s="35"/>
      <c r="F92" s="4"/>
      <c r="G92" s="25" t="str">
        <f t="shared" si="1"/>
        <v/>
      </c>
      <c r="H92" s="4"/>
      <c r="I92" s="4" t="str">
        <f>IFERROR(IF(H92="ND","ND",XiuYue((((H92-基础页!$B$22)*基础页!$B$15/C92)),3,-1,9999)),"")</f>
        <v/>
      </c>
    </row>
    <row r="93" ht="20.25" customHeight="1" spans="1:9">
      <c r="A93" s="35"/>
      <c r="F93" s="4"/>
      <c r="G93" s="25" t="str">
        <f t="shared" si="1"/>
        <v/>
      </c>
      <c r="H93" s="4"/>
      <c r="I93" s="4" t="str">
        <f>IFERROR(IF(H93="ND","ND",XiuYue((((H93-基础页!$B$22)*基础页!$B$15/C93)),3,-1,9999)),"")</f>
        <v/>
      </c>
    </row>
    <row r="94" ht="20.25" customHeight="1" spans="1:9">
      <c r="A94" s="35"/>
      <c r="F94" s="4"/>
      <c r="G94" s="25" t="str">
        <f t="shared" si="1"/>
        <v/>
      </c>
      <c r="H94" s="4"/>
      <c r="I94" s="4" t="str">
        <f>IFERROR(IF(H94="ND","ND",XiuYue((((H94-基础页!$B$22)*基础页!$B$15/C94)),3,-1,9999)),"")</f>
        <v/>
      </c>
    </row>
    <row r="95" ht="20.25" customHeight="1" spans="1:9">
      <c r="A95" s="35"/>
      <c r="F95" s="4"/>
      <c r="G95" s="25" t="str">
        <f t="shared" si="1"/>
        <v/>
      </c>
      <c r="H95" s="4"/>
      <c r="I95" s="4" t="str">
        <f>IFERROR(IF(H95="ND","ND",XiuYue((((H95-基础页!$B$22)*基础页!$B$15/C95)),3,-1,9999)),"")</f>
        <v/>
      </c>
    </row>
    <row r="96" ht="20.25" customHeight="1" spans="1:9">
      <c r="A96" s="35"/>
      <c r="F96" s="4"/>
      <c r="G96" s="25" t="str">
        <f t="shared" si="1"/>
        <v/>
      </c>
      <c r="H96" s="4"/>
      <c r="I96" s="4" t="str">
        <f>IFERROR(IF(H96="ND","ND",XiuYue((((H96-基础页!$B$22)*基础页!$B$15/C96)),3,-1,9999)),"")</f>
        <v/>
      </c>
    </row>
    <row r="97" ht="20.25" customHeight="1" spans="1:9">
      <c r="A97" s="35"/>
      <c r="F97" s="4"/>
      <c r="G97" s="25" t="str">
        <f t="shared" si="1"/>
        <v/>
      </c>
      <c r="H97" s="4"/>
      <c r="I97" s="4" t="str">
        <f>IFERROR(IF(H97="ND","ND",XiuYue((((H97-基础页!$B$22)*基础页!$B$15/C97)),3,-1,9999)),"")</f>
        <v/>
      </c>
    </row>
    <row r="98" ht="20.25" customHeight="1" spans="1:9">
      <c r="A98" s="35"/>
      <c r="F98" s="4"/>
      <c r="G98" s="25" t="str">
        <f t="shared" si="1"/>
        <v/>
      </c>
      <c r="H98" s="4"/>
      <c r="I98" s="4" t="str">
        <f>IFERROR(IF(H98="ND","ND",XiuYue((((H98-基础页!$B$22)*基础页!$B$15/C98)),3,-1,9999)),"")</f>
        <v/>
      </c>
    </row>
    <row r="99" ht="20.25" customHeight="1" spans="1:9">
      <c r="A99" s="35"/>
      <c r="F99" s="4"/>
      <c r="G99" s="25" t="str">
        <f t="shared" si="1"/>
        <v/>
      </c>
      <c r="H99" s="4"/>
      <c r="I99" s="4" t="str">
        <f>IFERROR(IF(H99="ND","ND",XiuYue((((H99-基础页!$B$22)*基础页!$B$15/C99)),3,-1,9999)),"")</f>
        <v/>
      </c>
    </row>
    <row r="100" ht="20.25" customHeight="1" spans="1:9">
      <c r="A100" s="35"/>
      <c r="F100" s="4"/>
      <c r="G100" s="25" t="str">
        <f t="shared" si="1"/>
        <v/>
      </c>
      <c r="H100" s="4"/>
      <c r="I100" s="4" t="str">
        <f>IFERROR(IF(H100="ND","ND",XiuYue((((H100-基础页!$B$22)*基础页!$B$15/C100)),3,-1,9999)),"")</f>
        <v/>
      </c>
    </row>
    <row r="101" ht="20.25" customHeight="1" spans="1:9">
      <c r="A101" s="35"/>
      <c r="F101" s="4"/>
      <c r="G101" s="25" t="str">
        <f t="shared" si="1"/>
        <v/>
      </c>
      <c r="H101" s="4"/>
      <c r="I101" s="4" t="str">
        <f>IFERROR(IF(H101="ND","ND",XiuYue((((H101-基础页!$B$22)*基础页!$B$15/C101)),3,-1,9999)),"")</f>
        <v/>
      </c>
    </row>
    <row r="102" ht="20.25" customHeight="1" spans="1:9">
      <c r="A102" s="35"/>
      <c r="F102" s="4"/>
      <c r="G102" s="25" t="str">
        <f t="shared" si="1"/>
        <v/>
      </c>
      <c r="H102" s="4"/>
      <c r="I102" s="4" t="str">
        <f>IFERROR(IF(H102="ND","ND",XiuYue((((H102-基础页!$B$22)*基础页!$B$15/C102)),3,-1,9999)),"")</f>
        <v/>
      </c>
    </row>
    <row r="103" ht="20.25" customHeight="1" spans="1:9">
      <c r="A103" s="35"/>
      <c r="F103" s="4"/>
      <c r="G103" s="25" t="str">
        <f t="shared" si="1"/>
        <v/>
      </c>
      <c r="H103" s="4"/>
      <c r="I103" s="4" t="str">
        <f>IFERROR(IF(H103="ND","ND",XiuYue((((H103-基础页!$B$22)*基础页!$B$15/C103)),3,-1,9999)),"")</f>
        <v/>
      </c>
    </row>
    <row r="104" ht="20.25" customHeight="1" spans="1:9">
      <c r="A104" s="35"/>
      <c r="F104" s="4"/>
      <c r="G104" s="25" t="str">
        <f t="shared" si="1"/>
        <v/>
      </c>
      <c r="H104" s="4"/>
      <c r="I104" s="4" t="str">
        <f>IFERROR(IF(H104="ND","ND",XiuYue((((H104-基础页!$B$22)*基础页!$B$15/C104)),3,-1,9999)),"")</f>
        <v/>
      </c>
    </row>
    <row r="105" ht="20.25" customHeight="1" spans="1:9">
      <c r="A105" s="35"/>
      <c r="F105" s="4"/>
      <c r="G105" s="25" t="str">
        <f t="shared" si="1"/>
        <v/>
      </c>
      <c r="H105" s="4"/>
      <c r="I105" s="4" t="str">
        <f>IFERROR(IF(H105="ND","ND",XiuYue((((H105-基础页!$B$22)*基础页!$B$15/C105)),3,-1,9999)),"")</f>
        <v/>
      </c>
    </row>
    <row r="106" ht="20.25" customHeight="1" spans="1:9">
      <c r="A106" s="35"/>
      <c r="F106" s="4"/>
      <c r="G106" s="25" t="str">
        <f t="shared" si="1"/>
        <v/>
      </c>
      <c r="H106" s="4"/>
      <c r="I106" s="4" t="str">
        <f>IFERROR(IF(H106="ND","ND",XiuYue((((H106-基础页!$B$22)*基础页!$B$15/C106)),3,-1,9999)),"")</f>
        <v/>
      </c>
    </row>
    <row r="107" ht="20.25" customHeight="1" spans="1:9">
      <c r="A107" s="35"/>
      <c r="F107" s="4"/>
      <c r="G107" s="25" t="str">
        <f t="shared" si="1"/>
        <v/>
      </c>
      <c r="H107" s="4"/>
      <c r="I107" s="4" t="str">
        <f>IFERROR(IF(H107="ND","ND",XiuYue((((H107-基础页!$B$22)*基础页!$B$15/C107)),3,-1,9999)),"")</f>
        <v/>
      </c>
    </row>
    <row r="108" ht="20.25" customHeight="1" spans="1:9">
      <c r="A108" s="35"/>
      <c r="F108" s="4"/>
      <c r="G108" s="25" t="str">
        <f t="shared" si="1"/>
        <v/>
      </c>
      <c r="H108" s="4"/>
      <c r="I108" s="4" t="str">
        <f>IFERROR(IF(H108="ND","ND",XiuYue((((H108-基础页!$B$22)*基础页!$B$15/C108)),3,-1,9999)),"")</f>
        <v/>
      </c>
    </row>
    <row r="109" ht="20.25" customHeight="1" spans="1:9">
      <c r="A109" s="35"/>
      <c r="F109" s="4"/>
      <c r="G109" s="25" t="str">
        <f t="shared" si="1"/>
        <v/>
      </c>
      <c r="H109" s="4"/>
      <c r="I109" s="4" t="str">
        <f>IFERROR(IF(H109="ND","ND",XiuYue((((H109-基础页!$B$22)*基础页!$B$15/C109)),3,-1,9999)),"")</f>
        <v/>
      </c>
    </row>
    <row r="110" ht="20.25" customHeight="1" spans="1:9">
      <c r="A110" s="35"/>
      <c r="F110" s="4"/>
      <c r="G110" s="25" t="str">
        <f t="shared" si="1"/>
        <v/>
      </c>
      <c r="H110" s="4"/>
      <c r="I110" s="4" t="str">
        <f>IFERROR(IF(H110="ND","ND",XiuYue((((H110-基础页!$B$22)*基础页!$B$15/C110)),3,-1,9999)),"")</f>
        <v/>
      </c>
    </row>
    <row r="111" ht="20.25" customHeight="1" spans="1:9">
      <c r="A111" s="35"/>
      <c r="F111" s="4"/>
      <c r="G111" s="25" t="str">
        <f t="shared" si="1"/>
        <v/>
      </c>
      <c r="H111" s="4"/>
      <c r="I111" s="4" t="str">
        <f>IFERROR(IF(H111="ND","ND",XiuYue((((H111-基础页!$B$22)*基础页!$B$15/C111)),3,-1,9999)),"")</f>
        <v/>
      </c>
    </row>
    <row r="112" ht="20.25" customHeight="1" spans="1:9">
      <c r="A112" s="35"/>
      <c r="F112" s="4"/>
      <c r="G112" s="25" t="str">
        <f t="shared" si="1"/>
        <v/>
      </c>
      <c r="H112" s="4"/>
      <c r="I112" s="4" t="str">
        <f>IFERROR(IF(H112="ND","ND",XiuYue((((H112-基础页!$B$22)*基础页!$B$15/C112)),3,-1,9999)),"")</f>
        <v/>
      </c>
    </row>
    <row r="113" ht="20.25" customHeight="1" spans="1:9">
      <c r="A113" s="35"/>
      <c r="F113" s="4"/>
      <c r="G113" s="25" t="str">
        <f t="shared" si="1"/>
        <v/>
      </c>
      <c r="H113" s="4"/>
      <c r="I113" s="4" t="str">
        <f>IFERROR(IF(H113="ND","ND",XiuYue((((H113-基础页!$B$22)*基础页!$B$15/C113)),3,-1,9999)),"")</f>
        <v/>
      </c>
    </row>
    <row r="114" ht="20.25" customHeight="1" spans="1:9">
      <c r="A114" s="35"/>
      <c r="F114" s="4"/>
      <c r="G114" s="25" t="str">
        <f t="shared" si="1"/>
        <v/>
      </c>
      <c r="H114" s="4"/>
      <c r="I114" s="4" t="str">
        <f>IFERROR(IF(H114="ND","ND",XiuYue((((H114-基础页!$B$22)*基础页!$B$15/C114)),3,-1,9999)),"")</f>
        <v/>
      </c>
    </row>
    <row r="115" ht="20.25" customHeight="1" spans="1:9">
      <c r="A115" s="35"/>
      <c r="F115" s="4"/>
      <c r="G115" s="25" t="str">
        <f t="shared" si="1"/>
        <v/>
      </c>
      <c r="H115" s="4"/>
      <c r="I115" s="4" t="str">
        <f>IFERROR(IF(H115="ND","ND",XiuYue((((H115-基础页!$B$22)*基础页!$B$15/C115)),3,-1,9999)),"")</f>
        <v/>
      </c>
    </row>
    <row r="116" ht="20.25" customHeight="1" spans="1:9">
      <c r="A116" s="35"/>
      <c r="F116" s="4"/>
      <c r="G116" s="25" t="str">
        <f t="shared" si="1"/>
        <v/>
      </c>
      <c r="H116" s="4"/>
      <c r="I116" s="4" t="str">
        <f>IFERROR(IF(H116="ND","ND",XiuYue((((H116-基础页!$B$22)*基础页!$B$15/C116)),3,-1,9999)),"")</f>
        <v/>
      </c>
    </row>
    <row r="117" ht="20.25" customHeight="1" spans="1:9">
      <c r="A117" s="35"/>
      <c r="F117" s="4"/>
      <c r="G117" s="25" t="str">
        <f t="shared" si="1"/>
        <v/>
      </c>
      <c r="H117" s="4"/>
      <c r="I117" s="4" t="str">
        <f>IFERROR(IF(H117="ND","ND",XiuYue((((H117-基础页!$B$22)*基础页!$B$15/C117)),3,-1,9999)),"")</f>
        <v/>
      </c>
    </row>
    <row r="118" ht="20.25" customHeight="1" spans="1:9">
      <c r="A118" s="35"/>
      <c r="F118" s="4"/>
      <c r="G118" s="25" t="str">
        <f t="shared" si="1"/>
        <v/>
      </c>
      <c r="H118" s="4"/>
      <c r="I118" s="4" t="str">
        <f>IFERROR(IF(H118="ND","ND",XiuYue((((H118-基础页!$B$22)*基础页!$B$15/C118)),3,-1,9999)),"")</f>
        <v/>
      </c>
    </row>
    <row r="119" ht="20.25" customHeight="1" spans="1:9">
      <c r="A119" s="35"/>
      <c r="F119" s="4"/>
      <c r="G119" s="25" t="str">
        <f t="shared" si="1"/>
        <v/>
      </c>
      <c r="H119" s="4"/>
      <c r="I119" s="4" t="str">
        <f>IFERROR(IF(H119="ND","ND",XiuYue((((H119-基础页!$B$22)*基础页!$B$15/C119)),3,-1,9999)),"")</f>
        <v/>
      </c>
    </row>
    <row r="120" ht="20.25" customHeight="1" spans="1:9">
      <c r="A120" s="35"/>
      <c r="F120" s="4"/>
      <c r="G120" s="25" t="str">
        <f t="shared" si="1"/>
        <v/>
      </c>
      <c r="H120" s="4"/>
      <c r="I120" s="4" t="str">
        <f>IFERROR(IF(H120="ND","ND",XiuYue((((H120-基础页!$B$22)*基础页!$B$15/C120)),3,-1,9999)),"")</f>
        <v/>
      </c>
    </row>
    <row r="121" ht="20.25" customHeight="1" spans="6:9">
      <c r="F121" s="4"/>
      <c r="G121" s="25" t="str">
        <f t="shared" si="1"/>
        <v/>
      </c>
      <c r="H121" s="4"/>
      <c r="I121" s="4" t="str">
        <f>IFERROR(IF(H121="ND","ND",XiuYue((((H121-基础页!$B$22)*基础页!$B$15/C121)),3,-1,9999)),"")</f>
        <v/>
      </c>
    </row>
    <row r="122" ht="20.25" customHeight="1" spans="6:9">
      <c r="F122" s="4"/>
      <c r="G122" s="25" t="str">
        <f t="shared" si="1"/>
        <v/>
      </c>
      <c r="H122" s="4"/>
      <c r="I122" s="4" t="str">
        <f>IFERROR(IF(H122="ND","ND",XiuYue((((H122-基础页!$B$22)*基础页!$B$15/C122)),3,-1,9999)),"")</f>
        <v/>
      </c>
    </row>
    <row r="123" ht="20.25" customHeight="1" spans="6:9">
      <c r="F123" s="4"/>
      <c r="G123" s="25" t="str">
        <f t="shared" si="1"/>
        <v/>
      </c>
      <c r="H123" s="4"/>
      <c r="I123" s="4" t="str">
        <f>IFERROR(IF(H123="ND","ND",XiuYue((((H123-基础页!$B$22)*基础页!$B$15/C123)),3,-1,9999)),"")</f>
        <v/>
      </c>
    </row>
    <row r="124" ht="20.25" customHeight="1" spans="6:9">
      <c r="F124" s="4"/>
      <c r="G124" s="25" t="str">
        <f t="shared" si="1"/>
        <v/>
      </c>
      <c r="H124" s="4"/>
      <c r="I124" s="4" t="str">
        <f>IFERROR(IF(H124="ND","ND",XiuYue((((H124-基础页!$B$22)*基础页!$B$15/C124)),3,-1,9999)),"")</f>
        <v/>
      </c>
    </row>
    <row r="125" ht="20.25" customHeight="1" spans="6:9">
      <c r="F125" s="4"/>
      <c r="G125" s="25" t="str">
        <f t="shared" si="1"/>
        <v/>
      </c>
      <c r="H125" s="4"/>
      <c r="I125" s="4" t="str">
        <f>IFERROR(IF(H125="ND","ND",XiuYue((((H125-基础页!$B$22)*基础页!$B$15/C125)),3,-1,9999)),"")</f>
        <v/>
      </c>
    </row>
    <row r="126" ht="20.25" customHeight="1" spans="6:9">
      <c r="F126" s="4"/>
      <c r="G126" s="25" t="str">
        <f t="shared" si="1"/>
        <v/>
      </c>
      <c r="H126" s="4"/>
      <c r="I126" s="4" t="str">
        <f>IFERROR(IF(H126="ND","ND",XiuYue((((H126-基础页!$B$22)*基础页!$B$15/C126)),3,-1,9999)),"")</f>
        <v/>
      </c>
    </row>
    <row r="127" ht="20.25" customHeight="1" spans="6:9">
      <c r="F127" s="4"/>
      <c r="G127" s="25" t="str">
        <f t="shared" si="1"/>
        <v/>
      </c>
      <c r="H127" s="4"/>
      <c r="I127" s="4" t="str">
        <f>IFERROR(IF(H127="ND","ND",XiuYue((((H127-基础页!$B$22)*基础页!$B$15/C127)),3,-1,9999)),"")</f>
        <v/>
      </c>
    </row>
    <row r="128" ht="20.25" customHeight="1" spans="6:9">
      <c r="F128" s="4"/>
      <c r="G128" s="25" t="str">
        <f t="shared" si="1"/>
        <v/>
      </c>
      <c r="H128" s="4"/>
      <c r="I128" s="4" t="str">
        <f>IFERROR(IF(H128="ND","ND",XiuYue((((H128-基础页!$B$22)*基础页!$B$15/C128)),3,-1,9999)),"")</f>
        <v/>
      </c>
    </row>
    <row r="129" ht="20.25" customHeight="1" spans="6:9">
      <c r="F129" s="4"/>
      <c r="G129" s="25" t="str">
        <f t="shared" si="1"/>
        <v/>
      </c>
      <c r="H129" s="4"/>
      <c r="I129" s="4" t="str">
        <f>IFERROR(IF(H129="ND","ND",XiuYue((((H129-基础页!$B$22)*基础页!$B$15/C129)),3,-1,9999)),"")</f>
        <v/>
      </c>
    </row>
    <row r="130" ht="20.25" customHeight="1" spans="7:9">
      <c r="G130" s="25" t="str">
        <f t="shared" si="1"/>
        <v/>
      </c>
      <c r="I130" s="36" t="str">
        <f>IFERROR(IF(H130="ND","ND",XiuYue((((H130-基础页!$B$22)*基础页!$B$15/C130)),3,-1,9999)),"")</f>
        <v/>
      </c>
    </row>
    <row r="131" ht="20.25" customHeight="1" spans="7:9">
      <c r="G131" s="25" t="str">
        <f t="shared" si="1"/>
        <v/>
      </c>
      <c r="I131" s="36" t="str">
        <f>IFERROR(IF(H131="ND","ND",XiuYue((((H131-基础页!$B$22)*基础页!$B$15/C131)),3,-1,9999)),"")</f>
        <v/>
      </c>
    </row>
    <row r="132" ht="20.25" customHeight="1" spans="7:9">
      <c r="G132" s="25" t="str">
        <f t="shared" si="1"/>
        <v/>
      </c>
      <c r="I132" s="36" t="str">
        <f>IFERROR(IF(H132="ND","ND",XiuYue((((H132-基础页!$B$22)*基础页!$B$15/C132)),3,-1,9999)),"")</f>
        <v/>
      </c>
    </row>
    <row r="133" ht="20.25" customHeight="1" spans="7:9">
      <c r="G133" s="25" t="str">
        <f t="shared" si="1"/>
        <v/>
      </c>
      <c r="I133" s="36" t="str">
        <f>IFERROR(IF(H133="ND","ND",XiuYue((((H133-基础页!$B$22)*基础页!$B$15/C133)),3,-1,9999)),"")</f>
        <v/>
      </c>
    </row>
    <row r="134" ht="20.25" customHeight="1" spans="9:9">
      <c r="I134" s="36" t="str">
        <f>IFERROR(IF(H134="ND","ND",XiuYue((((H134-基础页!$B$22)*基础页!$B$15/C134)),3,-1,9999)),"")</f>
        <v/>
      </c>
    </row>
    <row r="135" ht="20.25" customHeight="1" spans="9:9">
      <c r="I135" s="36" t="str">
        <f>IFERROR(IF(H135="ND","ND",XiuYue((((H135-基础页!$B$22)*基础页!$B$15/C135)),3,-1,9999)),"")</f>
        <v/>
      </c>
    </row>
    <row r="136" ht="20.25" customHeight="1" spans="9:9">
      <c r="I136" s="36" t="str">
        <f>IFERROR(IF(H136="ND","ND",XiuYue((((H136-基础页!$B$22)*基础页!$B$15/C136)),3,-1,9999)),"")</f>
        <v/>
      </c>
    </row>
    <row r="137" ht="20.25" customHeight="1" spans="9:9">
      <c r="I137" s="36" t="str">
        <f>IFERROR(IF(H137="ND","ND",XiuYue((((H137-基础页!$B$22)*基础页!$B$15/C137)),3,-1,9999)),"")</f>
        <v/>
      </c>
    </row>
    <row r="138" ht="20.25" customHeight="1" spans="9:9">
      <c r="I138" s="36" t="str">
        <f>IFERROR(IF(H138="ND","ND",XiuYue((((H138-基础页!$B$22)*基础页!$B$15/C138)),3,-1,9999)),"")</f>
        <v/>
      </c>
    </row>
    <row r="139" ht="20.25" customHeight="1" spans="9:9">
      <c r="I139" s="36" t="str">
        <f>IFERROR(IF(H139="ND","ND",XiuYue((((H139-基础页!$B$22)*基础页!$B$15/C139)),3,-1,9999)),"")</f>
        <v/>
      </c>
    </row>
    <row r="140" ht="20.25" customHeight="1" spans="9:9">
      <c r="I140" s="36" t="str">
        <f>IFERROR(IF(H140="ND","ND",XiuYue((((H140-基础页!$B$22)*基础页!$B$15/C140)),3,-1,9999)),"")</f>
        <v/>
      </c>
    </row>
    <row r="141" ht="20.25" customHeight="1" spans="9:9">
      <c r="I141" s="36" t="str">
        <f>IFERROR(IF(H141="ND","ND",XiuYue((((H141-基础页!$B$22)*基础页!$B$15/C141)),3,-1,9999)),"")</f>
        <v/>
      </c>
    </row>
    <row r="142" ht="20.25" customHeight="1" spans="9:9">
      <c r="I142" s="36" t="str">
        <f>IFERROR(IF(H142="ND","ND",XiuYue((((H142-基础页!$B$22)*基础页!$B$15/C142)),3,-1,9999)),"")</f>
        <v/>
      </c>
    </row>
    <row r="143" ht="20.25" customHeight="1" spans="9:9">
      <c r="I143" s="36" t="str">
        <f>IFERROR(IF(H143="ND","ND",XiuYue((((H143-基础页!$B$22)*基础页!$B$15/C143)),3,-1,9999)),"")</f>
        <v/>
      </c>
    </row>
    <row r="144" ht="20.25" customHeight="1" spans="9:9">
      <c r="I144" s="36" t="str">
        <f>IFERROR(IF(H144="ND","ND",XiuYue((((H144-基础页!$B$22)*基础页!$B$15/C144)),3,-1,9999)),"")</f>
        <v/>
      </c>
    </row>
    <row r="145" ht="20.25" customHeight="1" spans="9:9">
      <c r="I145" s="36" t="str">
        <f>IFERROR(IF(H145="ND","ND",XiuYue((((H145-基础页!$B$22)*基础页!$B$15/C145)),3,-1,9999)),"")</f>
        <v/>
      </c>
    </row>
    <row r="146" ht="20.25" customHeight="1" spans="9:9">
      <c r="I146" s="36" t="str">
        <f>IFERROR(IF(H146="ND","ND",XiuYue((((H146-基础页!$B$22)*基础页!$B$15/C146)),3,-1,9999)),"")</f>
        <v/>
      </c>
    </row>
    <row r="147" ht="20.25" customHeight="1" spans="9:9">
      <c r="I147" s="36" t="str">
        <f>IFERROR(IF(H147="ND","ND",XiuYue((((H147-基础页!$B$22)*基础页!$B$15/C147)),3,-1,9999)),"")</f>
        <v/>
      </c>
    </row>
    <row r="148" ht="20.25" customHeight="1" spans="9:9">
      <c r="I148" s="36" t="str">
        <f>IFERROR(IF(H148="ND","ND",XiuYue((((H148-基础页!$B$22)*基础页!$B$15/C148)),3,-1,9999)),"")</f>
        <v/>
      </c>
    </row>
    <row r="149" ht="20.25" customHeight="1" spans="9:9">
      <c r="I149" s="36" t="str">
        <f>IFERROR(IF(H149="ND","ND",XiuYue((((H149-基础页!$B$22)*基础页!$B$15/C149)),3,-1,9999)),"")</f>
        <v/>
      </c>
    </row>
    <row r="150" ht="20.25" customHeight="1" spans="9:9">
      <c r="I150" s="36" t="str">
        <f>IFERROR(IF(H150="ND","ND",XiuYue((((H150-基础页!$B$22)*基础页!$B$15/C150)),3,-1,9999)),"")</f>
        <v/>
      </c>
    </row>
    <row r="151" ht="20.25" customHeight="1" spans="9:9">
      <c r="I151" s="36" t="str">
        <f>IFERROR(IF(H151="ND","ND",XiuYue((((H151-基础页!$B$22)*基础页!$B$15/C151)),3,-1,9999)),"")</f>
        <v/>
      </c>
    </row>
    <row r="152" ht="20.25" customHeight="1" spans="9:9">
      <c r="I152" s="36" t="str">
        <f>IFERROR(IF(H152="ND","ND",XiuYue((((H152-基础页!$B$22)*基础页!$B$15/C152)),3,-1,9999)),"")</f>
        <v/>
      </c>
    </row>
    <row r="153" ht="20.25" customHeight="1" spans="9:9">
      <c r="I153" s="36" t="str">
        <f>IFERROR(IF(H153="ND","ND",XiuYue((((H153-基础页!$B$22)*基础页!$B$15/C153)),3,-1,9999)),"")</f>
        <v/>
      </c>
    </row>
    <row r="154" ht="20.25" customHeight="1" spans="9:9">
      <c r="I154" s="36" t="str">
        <f>IFERROR(IF(H154="ND","ND",XiuYue((((H154-基础页!$B$22)*基础页!$B$15/C154)),3,-1,9999)),"")</f>
        <v/>
      </c>
    </row>
    <row r="155" ht="20.25" customHeight="1" spans="9:9">
      <c r="I155" s="36" t="str">
        <f>IFERROR(IF(H155="ND","ND",XiuYue((((H155-基础页!$B$22)*基础页!$B$15/C155)),3,-1,9999)),"")</f>
        <v/>
      </c>
    </row>
    <row r="156" ht="20.25" customHeight="1" spans="9:9">
      <c r="I156" s="36" t="str">
        <f>IFERROR(IF(H156="ND","ND",XiuYue((((H156-基础页!$B$22)*基础页!$B$15/C156)),3,-1,9999)),"")</f>
        <v/>
      </c>
    </row>
    <row r="157" ht="20.25" customHeight="1" spans="9:9">
      <c r="I157" s="36" t="str">
        <f>IFERROR(IF(H157="ND","ND",XiuYue((((H157-基础页!$B$22)*基础页!$B$15/C157)),3,-1,9999)),"")</f>
        <v/>
      </c>
    </row>
    <row r="158" ht="20.25" customHeight="1" spans="9:9">
      <c r="I158" s="36" t="str">
        <f>IFERROR(IF(H158="ND","ND",XiuYue((((H158-基础页!$B$22)*基础页!$B$15/C158)),3,-1,9999)),"")</f>
        <v/>
      </c>
    </row>
    <row r="159" ht="20.25" customHeight="1" spans="9:9">
      <c r="I159" s="36" t="str">
        <f>IFERROR(IF(H159="ND","ND",XiuYue((((H159-基础页!$B$22)*基础页!$B$15/C159)),3,-1,9999)),"")</f>
        <v/>
      </c>
    </row>
    <row r="160" ht="20.25" customHeight="1" spans="9:9">
      <c r="I160" s="36" t="str">
        <f>IFERROR(IF(H160="ND","ND",XiuYue((((H160-基础页!$B$22)*基础页!$B$15/C160)),3,-1,9999)),"")</f>
        <v/>
      </c>
    </row>
    <row r="161" ht="20.25" customHeight="1" spans="9:9">
      <c r="I161" s="36" t="str">
        <f>IFERROR(IF(H161="ND","ND",XiuYue((((H161-基础页!$B$22)*基础页!$B$15/C161)),3,-1,9999)),"")</f>
        <v/>
      </c>
    </row>
    <row r="162" ht="20.25" customHeight="1" spans="9:9">
      <c r="I162" s="36" t="str">
        <f>IFERROR(IF(H162="ND","ND",XiuYue((((H162-基础页!$B$22)*基础页!$B$15/C162)),3,-1,9999)),"")</f>
        <v/>
      </c>
    </row>
    <row r="163" ht="20.25" customHeight="1" spans="9:9">
      <c r="I163" s="36" t="str">
        <f>IFERROR(IF(H163="ND","ND",XiuYue((((H163-基础页!$B$22)*基础页!$B$15/C163)),3,-1,9999)),"")</f>
        <v/>
      </c>
    </row>
    <row r="164" ht="20.25" customHeight="1" spans="9:9">
      <c r="I164" s="36" t="str">
        <f>IFERROR(IF(H164="ND","ND",XiuYue((((H164-基础页!$B$22)*基础页!$B$15/C164)),3,-1,9999)),"")</f>
        <v/>
      </c>
    </row>
    <row r="165" ht="20.25" customHeight="1" spans="9:9">
      <c r="I165" s="36" t="str">
        <f>IFERROR(IF(H165="ND","ND",XiuYue((((H165-基础页!$B$22)*基础页!$B$15/C165)),3,-1,9999)),"")</f>
        <v/>
      </c>
    </row>
    <row r="166" ht="20.25" customHeight="1" spans="9:9">
      <c r="I166" s="36" t="str">
        <f>IFERROR(IF(H166="ND","ND",XiuYue((((H166-基础页!$B$22)*基础页!$B$15/C166)),3,-1,9999)),"")</f>
        <v/>
      </c>
    </row>
    <row r="167" ht="20.25" customHeight="1" spans="9:9">
      <c r="I167" s="36" t="str">
        <f>IFERROR(IF(H167="ND","ND",XiuYue((((H167-基础页!$B$22)*基础页!$B$15/C167)),3,-1,9999)),"")</f>
        <v/>
      </c>
    </row>
    <row r="168" ht="20.25" customHeight="1" spans="9:9">
      <c r="I168" s="36" t="str">
        <f>IFERROR(IF(H168="ND","ND",XiuYue((((H168-基础页!$B$22)*基础页!$B$15/C168)),3,-1,9999)),"")</f>
        <v/>
      </c>
    </row>
    <row r="169" ht="20.25" customHeight="1" spans="9:9">
      <c r="I169" s="36" t="str">
        <f>IFERROR(IF(H169="ND","ND",XiuYue((((H169-基础页!$B$22)*基础页!$B$15/C169)),3,-1,9999)),"")</f>
        <v/>
      </c>
    </row>
    <row r="170" ht="20.25" customHeight="1" spans="9:9">
      <c r="I170" s="36" t="str">
        <f>IFERROR(IF(H170="ND","ND",XiuYue((((H170-基础页!$B$22)*基础页!$B$15/C170)),3,-1,9999)),"")</f>
        <v/>
      </c>
    </row>
    <row r="171" ht="20.25" customHeight="1" spans="9:9">
      <c r="I171" s="36" t="str">
        <f>IFERROR(IF(H171="ND","ND",XiuYue((((H171-基础页!$B$22)*基础页!$B$15/C171)),3,-1,9999)),"")</f>
        <v/>
      </c>
    </row>
    <row r="172" ht="20.25" customHeight="1" spans="9:9">
      <c r="I172" s="36" t="str">
        <f>IFERROR(IF(H172="ND","ND",XiuYue((((H172-基础页!$B$22)*基础页!$B$15/C172)),3,-1,9999)),"")</f>
        <v/>
      </c>
    </row>
    <row r="173" ht="20.25" customHeight="1" spans="9:9">
      <c r="I173" s="36" t="str">
        <f>IFERROR(IF(H173="ND","ND",XiuYue((((H173-基础页!$B$22)*基础页!$B$15/C173)),3,-1,9999)),"")</f>
        <v/>
      </c>
    </row>
    <row r="174" ht="20.25" customHeight="1" spans="9:9">
      <c r="I174" s="36" t="str">
        <f>IFERROR(IF(H174="ND","ND",XiuYue((((H174-基础页!$B$22)*基础页!$B$15/C174)),3,-1,9999)),"")</f>
        <v/>
      </c>
    </row>
    <row r="175" ht="20.25" customHeight="1" spans="9:9">
      <c r="I175" s="36" t="str">
        <f>IFERROR(IF(H175="ND","ND",XiuYue((((H175-基础页!$B$22)*基础页!$B$15/C175)),3,-1,9999)),"")</f>
        <v/>
      </c>
    </row>
    <row r="176" ht="20.25" customHeight="1" spans="9:9">
      <c r="I176" s="36" t="str">
        <f>IFERROR(IF(H176="ND","ND",XiuYue((((H176-基础页!$B$22)*基础页!$B$15/C176)),3,-1,9999)),"")</f>
        <v/>
      </c>
    </row>
    <row r="177" ht="20.25" customHeight="1" spans="9:9">
      <c r="I177" s="36" t="str">
        <f>IFERROR(IF(H177="ND","ND",XiuYue((((H177-基础页!$B$22)*基础页!$B$15/C177)),3,-1,9999)),"")</f>
        <v/>
      </c>
    </row>
    <row r="178" ht="20.25" customHeight="1" spans="9:9">
      <c r="I178" s="36" t="str">
        <f>IFERROR(IF(H178="ND","ND",XiuYue((((H178-基础页!$B$22)*基础页!$B$15/C178)),3,-1,9999)),"")</f>
        <v/>
      </c>
    </row>
    <row r="179" ht="20.25" customHeight="1" spans="9:9">
      <c r="I179" s="36" t="str">
        <f>IFERROR(IF(H179="ND","ND",XiuYue((((H179-基础页!$B$22)*基础页!$B$15/C179)),3,-1,9999)),"")</f>
        <v/>
      </c>
    </row>
    <row r="180" ht="20.25" customHeight="1" spans="9:9">
      <c r="I180" s="36" t="str">
        <f>IFERROR(IF(H180="ND","ND",XiuYue((((H180-基础页!$B$22)*基础页!$B$15/C180)),3,-1,9999)),"")</f>
        <v/>
      </c>
    </row>
    <row r="181" ht="20.25" customHeight="1" spans="9:9">
      <c r="I181" s="36" t="str">
        <f>IFERROR(IF(H181="ND","ND",XiuYue((((H181-基础页!$B$22)*基础页!$B$15/C181)),3,-1,9999)),"")</f>
        <v/>
      </c>
    </row>
    <row r="182" ht="20.25" customHeight="1" spans="9:9">
      <c r="I182" s="36" t="str">
        <f>IFERROR(IF(H182="ND","ND",XiuYue((((H182-基础页!$B$22)*基础页!$B$15/C182)),3,-1,9999)),"")</f>
        <v/>
      </c>
    </row>
    <row r="183" ht="20.25" customHeight="1" spans="9:9">
      <c r="I183" s="36" t="str">
        <f>IFERROR(IF(H183="ND","ND",XiuYue((((H183-基础页!$B$22)*基础页!$B$15/C183)),3,-1,9999)),"")</f>
        <v/>
      </c>
    </row>
    <row r="184" ht="20.25" customHeight="1" spans="9:9">
      <c r="I184" s="36" t="str">
        <f>IFERROR(IF(H184="ND","ND",XiuYue((((H184-基础页!$B$22)*基础页!$B$15/C184)),3,-1,9999)),"")</f>
        <v/>
      </c>
    </row>
    <row r="185" ht="20.25" customHeight="1" spans="9:9">
      <c r="I185" s="36" t="str">
        <f>IFERROR(IF(H185="ND","ND",XiuYue((((H185-基础页!$B$22)*基础页!$B$15/C185)),3,-1,9999)),"")</f>
        <v/>
      </c>
    </row>
    <row r="186" ht="20.25" customHeight="1" spans="9:9">
      <c r="I186" s="36" t="str">
        <f>IFERROR(IF(H186="ND","ND",XiuYue((((H186-基础页!$B$22)*基础页!$B$15/C186)),3,-1,9999)),"")</f>
        <v/>
      </c>
    </row>
    <row r="187" ht="20.25" customHeight="1" spans="9:9">
      <c r="I187" s="36" t="str">
        <f>IFERROR(IF(H187="ND","ND",XiuYue((((H187-基础页!$B$22)*基础页!$B$15/C187)),3,-1,9999)),"")</f>
        <v/>
      </c>
    </row>
    <row r="188" ht="20.25" customHeight="1" spans="9:9">
      <c r="I188" s="36" t="str">
        <f>IFERROR(IF(H188="ND","ND",XiuYue((((H188-基础页!$B$22)*基础页!$B$15/C188)),3,-1,9999)),"")</f>
        <v/>
      </c>
    </row>
    <row r="189" ht="20.25" customHeight="1" spans="9:9">
      <c r="I189" s="36" t="str">
        <f>IFERROR(IF(H189="ND","ND",XiuYue((((H189-基础页!$B$22)*基础页!$B$15/C189)),3,-1,9999)),"")</f>
        <v/>
      </c>
    </row>
    <row r="190" ht="20.25" customHeight="1" spans="9:9">
      <c r="I190" s="36" t="str">
        <f>IFERROR(IF(H190="ND","ND",XiuYue((((H190-基础页!$B$22)*基础页!$B$15/C190)),3,-1,9999)),"")</f>
        <v/>
      </c>
    </row>
    <row r="191" ht="20.25" customHeight="1" spans="9:9">
      <c r="I191" s="36" t="str">
        <f>IFERROR(IF(H191="ND","ND",XiuYue((((H191-基础页!$B$22)*基础页!$B$15/C191)),3,-1,9999)),"")</f>
        <v/>
      </c>
    </row>
    <row r="192" ht="20.25" customHeight="1" spans="9:9">
      <c r="I192" s="36" t="str">
        <f>IFERROR(IF(H192="ND","ND",XiuYue((((H192-基础页!$B$22)*基础页!$B$15/C192)),3,-1,9999)),"")</f>
        <v/>
      </c>
    </row>
    <row r="193" ht="20.25" customHeight="1" spans="9:9">
      <c r="I193" s="36" t="str">
        <f>IFERROR(IF(H193="ND","ND",XiuYue((((H193-基础页!$B$22)*基础页!$B$15/C193)),3,-1,9999)),"")</f>
        <v/>
      </c>
    </row>
    <row r="194" ht="20.25" customHeight="1" spans="9:9">
      <c r="I194" s="36" t="str">
        <f>IFERROR(IF(H194="ND","ND",XiuYue((((H194-基础页!$B$22)*基础页!$B$15/C194)),3,-1,9999)),"")</f>
        <v/>
      </c>
    </row>
    <row r="195" ht="20.25" customHeight="1" spans="9:9">
      <c r="I195" s="36" t="str">
        <f>IFERROR(IF(H195="ND","ND",XiuYue((((H195-基础页!$B$22)*基础页!$B$15/C195)),3,-1,9999)),"")</f>
        <v/>
      </c>
    </row>
    <row r="196" ht="20.25" customHeight="1" spans="9:9">
      <c r="I196" s="36" t="str">
        <f>IFERROR(IF(H196="ND","ND",XiuYue((((H196-基础页!$B$22)*基础页!$B$15/C196)),3,-1,9999)),"")</f>
        <v/>
      </c>
    </row>
    <row r="197" ht="20.25" customHeight="1" spans="9:9">
      <c r="I197" s="36" t="str">
        <f>IFERROR(IF(H197="ND","ND",XiuYue((((H197-基础页!$B$22)*基础页!$B$15/C197)),3,-1,9999)),"")</f>
        <v/>
      </c>
    </row>
    <row r="198" ht="20.25" customHeight="1" spans="9:9">
      <c r="I198" s="36" t="str">
        <f>IFERROR(IF(H198="ND","ND",XiuYue((((H198-基础页!$B$22)*基础页!$B$15/C198)),3,-1,9999)),"")</f>
        <v/>
      </c>
    </row>
    <row r="199" ht="20.25" customHeight="1" spans="9:9">
      <c r="I199" s="36" t="str">
        <f>IFERROR(IF(H199="ND","ND",XiuYue((((H199-基础页!$B$22)*基础页!$B$15/C199)),3,-1,9999)),"")</f>
        <v/>
      </c>
    </row>
    <row r="200" ht="20.25" customHeight="1" spans="9:9">
      <c r="I200" s="36" t="str">
        <f>IFERROR(IF(H200="ND","ND",XiuYue((((H200-基础页!$B$22)*基础页!$B$15/C200)),3,-1,9999)),"")</f>
        <v/>
      </c>
    </row>
    <row r="201" ht="20.25" customHeight="1" spans="9:9">
      <c r="I201" s="36" t="str">
        <f>IFERROR(IF(H201="ND","ND",XiuYue((((H201-基础页!$B$22)*基础页!$B$15/C201)),3,-1,9999)),"")</f>
        <v/>
      </c>
    </row>
    <row r="202" ht="20.25" customHeight="1" spans="9:9">
      <c r="I202" s="36" t="str">
        <f>IFERROR(IF(H202="ND","ND",XiuYue((((H202-基础页!$B$22)*基础页!$B$15/C202)),3,-1,9999)),"")</f>
        <v/>
      </c>
    </row>
    <row r="203" ht="20.25" customHeight="1" spans="9:9">
      <c r="I203" s="36" t="str">
        <f>IFERROR(IF(H203="ND","ND",XiuYue((((H203-基础页!$B$22)*基础页!$B$15/C203)),3,-1,9999)),"")</f>
        <v/>
      </c>
    </row>
    <row r="204" ht="20.25" customHeight="1" spans="9:9">
      <c r="I204" s="36" t="str">
        <f>IFERROR(IF(H204="ND","ND",XiuYue((((H204-基础页!$B$22)*基础页!$B$15/C204)),3,-1,9999)),"")</f>
        <v/>
      </c>
    </row>
    <row r="205" ht="20.25" customHeight="1" spans="9:9">
      <c r="I205" s="36" t="str">
        <f>IFERROR(IF(H205="ND","ND",XiuYue((((H205-基础页!$B$22)*基础页!$B$15/C205)),3,-1,9999)),"")</f>
        <v/>
      </c>
    </row>
    <row r="206" ht="20.25" customHeight="1" spans="9:9">
      <c r="I206" s="36" t="str">
        <f>IFERROR(IF(H206="ND","ND",XiuYue((((H206-基础页!$B$22)*基础页!$B$15/C206)),3,-1,9999)),"")</f>
        <v/>
      </c>
    </row>
    <row r="207" ht="20.25" customHeight="1" spans="9:9">
      <c r="I207" s="36" t="str">
        <f>IFERROR(IF(H207="ND","ND",XiuYue((((H207-基础页!$B$22)*基础页!$B$15/C207)),3,-1,9999)),"")</f>
        <v/>
      </c>
    </row>
    <row r="208" ht="20.25" customHeight="1" spans="9:9">
      <c r="I208" s="36" t="str">
        <f>IFERROR(IF(H208="ND","ND",XiuYue((((H208-基础页!$B$22)*基础页!$B$15/C208)),3,-1,9999)),"")</f>
        <v/>
      </c>
    </row>
    <row r="209" ht="20.25" customHeight="1" spans="9:9">
      <c r="I209" s="36" t="str">
        <f>IFERROR(IF(H209="ND","ND",XiuYue((((H209-基础页!$B$22)*基础页!$B$15/C209)),3,-1,9999)),"")</f>
        <v/>
      </c>
    </row>
    <row r="210" ht="20.25" customHeight="1" spans="9:9">
      <c r="I210" s="36" t="str">
        <f>IFERROR(IF(H210="ND","ND",XiuYue((((H210-基础页!$B$22)*基础页!$B$15/C210)),3,-1,9999)),"")</f>
        <v/>
      </c>
    </row>
    <row r="211" ht="20.25" customHeight="1" spans="9:9">
      <c r="I211" s="36" t="str">
        <f>IFERROR(IF(H211="ND","ND",XiuYue((((H211-基础页!$B$22)*基础页!$B$15/C211)),3,-1,9999)),"")</f>
        <v/>
      </c>
    </row>
    <row r="212" ht="20.25" customHeight="1" spans="9:9">
      <c r="I212" s="36" t="str">
        <f>IFERROR(IF(H212="ND","ND",XiuYue((((H212-基础页!$B$22)*基础页!$B$15/C212)),3,-1,9999)),"")</f>
        <v/>
      </c>
    </row>
    <row r="213" ht="20.25" customHeight="1" spans="9:9">
      <c r="I213" s="36" t="str">
        <f>IFERROR(IF(H213="ND","ND",XiuYue((((H213-基础页!$B$22)*基础页!$B$15/C213)),3,-1,9999)),"")</f>
        <v/>
      </c>
    </row>
    <row r="214" ht="20.25" customHeight="1" spans="9:9">
      <c r="I214" s="36" t="str">
        <f>IFERROR(IF(H214="ND","ND",XiuYue((((H214-基础页!$B$22)*基础页!$B$15/C214)),3,-1,9999)),"")</f>
        <v/>
      </c>
    </row>
    <row r="215" ht="20.25" customHeight="1" spans="9:9">
      <c r="I215" s="36" t="str">
        <f>IFERROR(IF(H215="ND","ND",XiuYue((((H215-基础页!$B$22)*基础页!$B$15/C215)),3,-1,9999)),"")</f>
        <v/>
      </c>
    </row>
    <row r="216" ht="20.25" customHeight="1" spans="9:9">
      <c r="I216" s="36" t="str">
        <f>IFERROR(IF(H216="ND","ND",XiuYue((((H216-基础页!$B$22)*基础页!$B$15/C216)),3,-1,9999)),"")</f>
        <v/>
      </c>
    </row>
    <row r="217" ht="20.25" customHeight="1" spans="9:9">
      <c r="I217" s="36" t="str">
        <f>IFERROR(IF(H217="ND","ND",XiuYue((((H217-基础页!$B$22)*基础页!$B$15/C217)),3,-1,9999)),"")</f>
        <v/>
      </c>
    </row>
    <row r="218" ht="20.25" customHeight="1" spans="9:9">
      <c r="I218" s="36" t="str">
        <f>IFERROR(IF(H218="ND","ND",XiuYue((((H218-基础页!$B$22)*基础页!$B$15/C218)),3,-1,9999)),"")</f>
        <v/>
      </c>
    </row>
    <row r="219" ht="20.25" customHeight="1" spans="9:9">
      <c r="I219" s="36" t="str">
        <f>IFERROR(IF(H219="ND","ND",XiuYue((((H219-基础页!$B$22)*基础页!$B$15/C219)),3,-1,9999)),"")</f>
        <v/>
      </c>
    </row>
    <row r="220" ht="20.25" customHeight="1" spans="9:9">
      <c r="I220" s="36" t="str">
        <f>IFERROR(IF(H220="ND","ND",XiuYue((((H220-基础页!$B$22)*基础页!$B$15/C220)),3,-1,9999)),"")</f>
        <v/>
      </c>
    </row>
    <row r="221" ht="20.25" customHeight="1" spans="9:9">
      <c r="I221" s="36" t="str">
        <f>IFERROR(IF(H221="ND","ND",XiuYue((((H221-基础页!$B$22)*基础页!$B$15/C221)),3,-1,9999)),"")</f>
        <v/>
      </c>
    </row>
    <row r="222" ht="20.25" customHeight="1" spans="9:9">
      <c r="I222" s="36" t="str">
        <f>IFERROR(IF(H222="ND","ND",XiuYue((((H222-基础页!$B$22)*基础页!$B$15/C222)),3,-1,9999)),"")</f>
        <v/>
      </c>
    </row>
    <row r="223" ht="20.25" customHeight="1" spans="9:9">
      <c r="I223" s="36" t="str">
        <f>IFERROR(IF(H223="ND","ND",XiuYue((((H223-基础页!$B$22)*基础页!$B$15/C223)),3,-1,9999)),"")</f>
        <v/>
      </c>
    </row>
    <row r="224" ht="20.25" customHeight="1" spans="9:9">
      <c r="I224" s="36" t="str">
        <f>IFERROR(IF(H224="ND","ND",XiuYue((((H224-基础页!$B$22)*基础页!$B$15/C224)),3,-1,9999)),"")</f>
        <v/>
      </c>
    </row>
    <row r="225" ht="20.25" customHeight="1"/>
    <row r="226" ht="20.25" customHeight="1"/>
    <row r="227" ht="20.25" customHeight="1"/>
    <row r="228" ht="20.25" customHeight="1"/>
    <row r="229" ht="20.25" customHeight="1"/>
    <row r="230" ht="20.25" customHeight="1"/>
    <row r="231" ht="20.25" customHeight="1"/>
    <row r="232" ht="20.25" customHeight="1"/>
    <row r="233" ht="20.25" customHeight="1"/>
    <row r="234" ht="20.25" customHeight="1"/>
    <row r="235" ht="20.25" customHeight="1"/>
    <row r="236" ht="20.25" customHeight="1"/>
    <row r="237" ht="20.25" customHeight="1"/>
    <row r="238" ht="20.25" customHeight="1"/>
    <row r="239" ht="20.25" customHeight="1"/>
    <row r="240" ht="20.25" customHeight="1"/>
    <row r="241" ht="20.25" customHeight="1"/>
    <row r="242" ht="20.25" customHeight="1"/>
    <row r="243" ht="20.25" customHeight="1"/>
    <row r="244" ht="20.25" customHeight="1"/>
    <row r="245" ht="20.25" customHeight="1"/>
    <row r="246" ht="20.25" customHeight="1"/>
    <row r="247" ht="20.25" customHeight="1"/>
    <row r="248" ht="20.25" customHeight="1"/>
    <row r="249" ht="20.25" customHeight="1"/>
    <row r="250" ht="20.25" customHeight="1"/>
    <row r="251" ht="20.25" customHeight="1"/>
    <row r="252" ht="20.25" customHeight="1"/>
    <row r="253" ht="20.25" customHeight="1"/>
    <row r="254" ht="20.25" customHeight="1"/>
    <row r="255" ht="20.25" customHeight="1"/>
    <row r="256" ht="20.25" customHeight="1"/>
    <row r="257" ht="20.25" customHeight="1"/>
    <row r="258" ht="20.25" customHeight="1"/>
    <row r="259" ht="20.25" customHeight="1"/>
    <row r="260" ht="20.25" customHeight="1"/>
    <row r="261" ht="20.25" customHeight="1"/>
    <row r="262" ht="20.25" customHeight="1"/>
    <row r="263" ht="20.25" customHeight="1"/>
    <row r="264" ht="20.25" customHeight="1"/>
    <row r="265" ht="20.25" customHeight="1"/>
    <row r="266" ht="20.25" customHeight="1"/>
    <row r="267" ht="20.25" customHeight="1"/>
    <row r="268" ht="20.25" customHeight="1"/>
    <row r="269" ht="20.25" customHeight="1"/>
    <row r="270" ht="20.25" customHeight="1"/>
    <row r="271" ht="20.25" customHeight="1"/>
    <row r="272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8">
    <mergeCell ref="A1:J1"/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  <mergeCell ref="L3:L4"/>
    <mergeCell ref="M3:M4"/>
    <mergeCell ref="N3:N4"/>
    <mergeCell ref="O2:O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