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TuruiLYDBoi75FJLkPILMaOKxJBPPwNroaA1ouIXzRSVcTYJut3MxE1Q338ZvZWocLCpmWe81oG8MvHeq0PcQg==" workbookSaltValue="xP8DJJsb//EWu9+aB20LhQ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<sst xmlns="http://schemas.openxmlformats.org/spreadsheetml/2006/main" count="80">
  <si>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</si>
  <si>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</si>
  <si>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</si>
  <si>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</si>
  <si>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</si>
  <si>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</si>
  <si>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</si>
  <si>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</si>
  <si>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</si>
  <si>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</si>
  <si>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</si>
  <si>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</si>
  <si>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</si>
  <si>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</si>
  <si>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</si>
  <si>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</si>
  <si>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</si>
  <si>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</si>
  <si>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</si>
  <si>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</si>
  <si>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</si>
  <si>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</si>
  <si>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</si>
  <si>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</si>
  <si>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水产品中土霉素、四环素、金霉素和多西霉素残留量的测定 液相色谱法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</si>
  <si>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</si>
  <si>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</si>
  <si>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</si>
  <si>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t>检出限</t>
  </si>
  <si>
    <t>土霉素、四环素为10 µg/kg；
多西环素、金霉素为20 µg/kg</t>
  </si>
  <si>
    <r>
      <rPr>
        <sz val="11"/>
        <color rgb="FFFF0000"/>
        <rFont val="宋体"/>
        <charset val="134"/>
      </rPr>
      <t>为不需要填写</t>
    </r>
  </si>
  <si>
    <t>定量限</t>
  </si>
  <si>
    <t>土霉素、四环素为20 µg/kg；
多西环素、金霉素为40 µg/kg</t>
  </si>
  <si>
    <r>
      <rPr>
        <sz val="11"/>
        <color rgb="FFFF0000"/>
        <rFont val="宋体"/>
        <charset val="134"/>
      </rPr>
      <t>为质控模块</t>
    </r>
  </si>
  <si>
    <t>仪器名称及编号</t>
  </si>
  <si>
    <t>超高效液相色谱仪AS274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</si>
  <si>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</si>
  <si>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</si>
  <si>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</si>
  <si>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</si>
  <si>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</si>
  <si>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100 mm×2.1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</si>
  <si>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</si>
  <si>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</si>
  <si>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t>A:咪唑缓冲溶液
B:甲醇</t>
  </si>
  <si>
    <t>洗脱程序</t>
  </si>
  <si>
    <r>
      <rPr>
        <sz val="11"/>
        <color theme="1"/>
        <rFont val="Times New Roman"/>
        <charset val="134"/>
      </rPr>
      <t>0 ~ 2.3min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相比例为</t>
    </r>
    <r>
      <rPr>
        <sz val="11"/>
        <color theme="1"/>
        <rFont val="Times New Roman"/>
        <charset val="134"/>
      </rPr>
      <t>16 %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2.3 ~8.0 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相比例为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8.0 ~12 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相比例为</t>
    </r>
    <r>
      <rPr>
        <sz val="11"/>
        <color theme="1"/>
        <rFont val="Times New Roman"/>
        <charset val="134"/>
      </rPr>
      <t>16%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</si>
  <si>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</si>
  <si>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</si>
  <si>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检测波长</t>
  </si>
  <si>
    <r>
      <rPr>
        <sz val="11"/>
        <color theme="1"/>
        <rFont val="微软雅黑"/>
        <charset val="134"/>
      </rPr>
      <t>激发波长：</t>
    </r>
    <r>
      <rPr>
        <sz val="11"/>
        <color theme="1"/>
        <rFont val="Times New Roman"/>
        <charset val="134"/>
      </rPr>
      <t xml:space="preserve">380nm </t>
    </r>
    <r>
      <rPr>
        <sz val="11"/>
        <color theme="1"/>
        <rFont val="微软雅黑"/>
        <charset val="134"/>
      </rPr>
      <t>发射波长：</t>
    </r>
    <r>
      <rPr>
        <sz val="11"/>
        <color theme="1"/>
        <rFont val="Times New Roman"/>
        <charset val="134"/>
      </rPr>
      <t>520nm</t>
    </r>
  </si>
  <si>
    <t>标准溶液</t>
  </si>
  <si>
    <t>标准工作溶液浓度(   )</t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</si>
  <si>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</si>
  <si>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</si>
  <si>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</si>
  <si>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</si>
  <si>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÷m×5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</si>
  <si>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</si>
  <si>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</si>
  <si>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</si>
  <si>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</si>
  <si>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</si>
  <si>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</si>
  <si>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</si>
  <si>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</si>
  <si>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</si>
  <si>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</si>
  <si>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</si>
  <si>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保留时间（min）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</si>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</sst>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6" formatCode="0.0_ "/>
    <numFmt numFmtId="177" formatCode="0.0_ ;[Red]\-0.0\ "/>
    <numFmt numFmtId="178" formatCode="0.0"/>
    <numFmt numFmtId="179" formatCode="0.00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  <font>
      <sz val="11"/>
      <color theme="1"/>
      <name val="Calibri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6" fillId="20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9" borderId="13" applyNumberFormat="0" applyFont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33" fillId="18" borderId="16" applyNumberFormat="0" applyAlignment="0" applyProtection="0">
      <alignment vertical="center"/>
    </xf>
    <xf numFmtId="0" fontId="24" fillId="18" borderId="12" applyNumberFormat="0" applyAlignment="0" applyProtection="0">
      <alignment vertical="center"/>
    </xf>
    <xf numFmtId="0" fontId="28" fillId="25" borderId="14" applyNumberFormat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34" fillId="0" borderId="0"/>
  </cellStyleXfs>
  <cellXfs count="87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8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/>
    </xf>
    <xf numFmtId="49" fontId="5" fillId="4" borderId="2" xfId="0" applyNumberFormat="1" applyFont="1" applyFill="1" applyBorder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9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837670" y="50069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152370" y="473075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282388</xdr:colOff>
      <xdr:row>22</xdr:row>
      <xdr:rowOff>44823</xdr:rowOff>
    </xdr:from>
    <xdr:ext cx="65" cy="172227"/>
    <xdr:sp>
      <xdr:nvSpPr>
        <xdr:cNvPr id="4" name="文本框 3"/>
        <xdr:cNvSpPr txBox="1"/>
      </xdr:nvSpPr>
      <xdr:spPr>
        <a:xfrm>
          <a:off x="7437120" y="948245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28"/>
  <sheetViews>
    <sheetView tabSelected="1" zoomScale="85" zoomScaleNormal="85" workbookViewId="0">
      <selection activeCell="B24" sqref="B24:F24"/>
    </sheetView>
  </sheetViews>
  <sheetFormatPr defaultColWidth="9" defaultRowHeight="20.25" customHeight="1"/>
  <cols>
    <col min="1" max="1" width="23.7777777777778" style="30" customWidth="1"/>
    <col min="2" max="3" width="12.8888888888889" style="30" customWidth="1"/>
    <col min="4" max="4" width="13.7777777777778" style="30" customWidth="1"/>
    <col min="5" max="5" width="13.3333333333333" style="30" customWidth="1"/>
    <col min="6" max="6" width="27.6666666666667" style="30" customWidth="1"/>
    <col min="7" max="17" width="5.11111111111111" style="2" customWidth="1"/>
    <col min="18" max="18" width="9" style="2"/>
    <col min="19" max="19" width="35.8888888888889" style="2" customWidth="1"/>
    <col min="20" max="16384" width="9" style="2"/>
  </cols>
  <sheetData>
    <row r="1" customHeight="1" spans="1:22">
      <c r="A1" s="31" t="s">
        <v>0</v>
      </c>
      <c r="B1" s="31"/>
      <c r="C1" s="31"/>
      <c r="D1" s="31"/>
      <c r="E1" s="31"/>
      <c r="F1" s="31"/>
      <c r="G1" s="32" t="s">
        <v>1</v>
      </c>
      <c r="H1" s="33"/>
      <c r="I1" s="33"/>
      <c r="J1" s="33"/>
      <c r="K1" s="33"/>
      <c r="L1" s="33"/>
      <c r="M1" s="33"/>
      <c r="N1" s="33"/>
      <c r="O1" s="33"/>
      <c r="P1" s="33"/>
      <c r="Q1" s="82"/>
      <c r="R1" s="83"/>
      <c r="S1" s="84" t="s">
        <v>2</v>
      </c>
      <c r="T1" s="83" t="s">
        <v>3</v>
      </c>
      <c r="U1" s="83"/>
      <c r="V1" s="83"/>
    </row>
    <row r="2" s="1" customFormat="1" ht="21" customHeight="1" spans="1:22">
      <c r="A2" s="34" t="s">
        <v>4</v>
      </c>
      <c r="B2" s="35"/>
      <c r="C2" s="35"/>
      <c r="D2" s="35"/>
      <c r="E2" s="35"/>
      <c r="F2" s="35"/>
      <c r="G2" s="36"/>
      <c r="H2" s="33"/>
      <c r="I2" s="73" t="s">
        <v>5</v>
      </c>
      <c r="J2" s="73"/>
      <c r="K2" s="73"/>
      <c r="L2" s="74"/>
      <c r="M2" s="73" t="s">
        <v>6</v>
      </c>
      <c r="N2" s="73"/>
      <c r="O2" s="73"/>
      <c r="P2" s="33"/>
      <c r="Q2" s="82"/>
      <c r="R2" s="85"/>
      <c r="S2" s="86" t="s">
        <v>7</v>
      </c>
      <c r="T2" s="85" t="s">
        <v>8</v>
      </c>
      <c r="U2" s="85"/>
      <c r="V2" s="85"/>
    </row>
    <row r="3" s="1" customFormat="1" ht="21" customHeight="1" spans="1:22">
      <c r="A3" s="34" t="s">
        <v>9</v>
      </c>
      <c r="B3" s="3"/>
      <c r="C3" s="3"/>
      <c r="D3" s="3"/>
      <c r="E3" s="3"/>
      <c r="F3" s="3"/>
      <c r="G3" s="36"/>
      <c r="H3" s="33"/>
      <c r="I3" s="73"/>
      <c r="J3" s="73"/>
      <c r="K3" s="73"/>
      <c r="L3" s="74"/>
      <c r="M3" s="73"/>
      <c r="N3" s="73"/>
      <c r="O3" s="73"/>
      <c r="P3" s="33"/>
      <c r="Q3" s="82"/>
      <c r="R3" s="85"/>
      <c r="S3" s="86" t="s">
        <v>10</v>
      </c>
      <c r="T3" s="85" t="s">
        <v>11</v>
      </c>
      <c r="U3" s="85"/>
      <c r="V3" s="85"/>
    </row>
    <row r="4" s="1" customFormat="1" ht="21" customHeight="1" spans="1:22">
      <c r="A4" s="34" t="s">
        <v>12</v>
      </c>
      <c r="B4" s="3"/>
      <c r="C4" s="3"/>
      <c r="D4" s="3"/>
      <c r="E4" s="3"/>
      <c r="F4" s="3"/>
      <c r="G4" s="36"/>
      <c r="H4" s="33"/>
      <c r="I4" s="74"/>
      <c r="J4" s="74"/>
      <c r="K4" s="74"/>
      <c r="L4" s="74"/>
      <c r="M4" s="74"/>
      <c r="N4" s="75"/>
      <c r="O4" s="75"/>
      <c r="P4" s="33"/>
      <c r="Q4" s="82"/>
      <c r="R4" s="85"/>
      <c r="S4" s="86" t="s">
        <v>13</v>
      </c>
      <c r="T4" s="85" t="s">
        <v>14</v>
      </c>
      <c r="U4" s="85"/>
      <c r="V4" s="85"/>
    </row>
    <row r="5" s="1" customFormat="1" ht="21" customHeight="1" spans="1:22">
      <c r="A5" s="34" t="s">
        <v>15</v>
      </c>
      <c r="B5" s="37"/>
      <c r="C5" s="37"/>
      <c r="D5" s="3"/>
      <c r="E5" s="3"/>
      <c r="F5" s="3"/>
      <c r="G5" s="36"/>
      <c r="H5" s="33"/>
      <c r="I5" s="73" t="s">
        <v>16</v>
      </c>
      <c r="J5" s="73"/>
      <c r="K5" s="73"/>
      <c r="L5" s="74"/>
      <c r="M5" s="73" t="s">
        <v>17</v>
      </c>
      <c r="N5" s="73"/>
      <c r="O5" s="73"/>
      <c r="P5" s="33"/>
      <c r="Q5" s="82"/>
      <c r="R5" s="85"/>
      <c r="S5" s="85"/>
      <c r="T5" s="85"/>
      <c r="U5" s="85"/>
      <c r="V5" s="85"/>
    </row>
    <row r="6" s="1" customFormat="1" ht="21" customHeight="1" spans="1:22">
      <c r="A6" s="34" t="s">
        <v>18</v>
      </c>
      <c r="B6" s="3"/>
      <c r="C6" s="3"/>
      <c r="D6" s="3"/>
      <c r="E6" s="3"/>
      <c r="F6" s="3"/>
      <c r="G6" s="38"/>
      <c r="H6" s="33"/>
      <c r="I6" s="73"/>
      <c r="J6" s="73"/>
      <c r="K6" s="73"/>
      <c r="L6" s="74"/>
      <c r="M6" s="73"/>
      <c r="N6" s="73"/>
      <c r="O6" s="73"/>
      <c r="P6" s="33"/>
      <c r="Q6" s="82"/>
      <c r="R6" s="85"/>
      <c r="S6" s="85"/>
      <c r="T6" s="85"/>
      <c r="U6" s="85"/>
      <c r="V6" s="85"/>
    </row>
    <row r="7" s="1" customFormat="1" ht="21" customHeight="1" spans="1:17">
      <c r="A7" s="34" t="s">
        <v>19</v>
      </c>
      <c r="B7" s="37" t="s">
        <v>20</v>
      </c>
      <c r="C7" s="37"/>
      <c r="D7" s="37"/>
      <c r="E7" s="37"/>
      <c r="F7" s="37"/>
      <c r="G7" s="38"/>
      <c r="H7" s="33"/>
      <c r="I7" s="73"/>
      <c r="J7" s="73"/>
      <c r="K7" s="73"/>
      <c r="L7" s="74"/>
      <c r="M7" s="73"/>
      <c r="N7" s="73"/>
      <c r="O7" s="73"/>
      <c r="P7" s="33"/>
      <c r="Q7" s="82"/>
    </row>
    <row r="8" s="1" customFormat="1" ht="21.6" customHeight="1" spans="1:17">
      <c r="A8" s="34" t="s">
        <v>21</v>
      </c>
      <c r="B8" s="37" t="s">
        <v>22</v>
      </c>
      <c r="C8" s="37"/>
      <c r="D8" s="37"/>
      <c r="E8" s="37"/>
      <c r="F8" s="37"/>
      <c r="G8" s="38"/>
      <c r="H8" s="33"/>
      <c r="I8" s="76"/>
      <c r="J8" s="76"/>
      <c r="K8" s="76"/>
      <c r="L8" s="77"/>
      <c r="M8" s="76"/>
      <c r="N8" s="76"/>
      <c r="O8" s="76"/>
      <c r="P8" s="33"/>
      <c r="Q8" s="82"/>
    </row>
    <row r="9" s="1" customFormat="1" ht="41" customHeight="1" spans="1:17">
      <c r="A9" s="34" t="s">
        <v>23</v>
      </c>
      <c r="B9" s="39" t="s">
        <v>24</v>
      </c>
      <c r="C9" s="39"/>
      <c r="D9" s="4"/>
      <c r="E9" s="4"/>
      <c r="F9" s="4"/>
      <c r="G9" s="40"/>
      <c r="H9" s="2"/>
      <c r="I9" s="2"/>
      <c r="N9" s="2"/>
      <c r="O9" s="2"/>
      <c r="P9" s="2"/>
      <c r="Q9" s="40"/>
    </row>
    <row r="10" s="1" customFormat="1" ht="20.1" customHeight="1" spans="1:20">
      <c r="A10" s="34" t="s">
        <v>25</v>
      </c>
      <c r="B10" s="41"/>
      <c r="C10" s="41"/>
      <c r="D10" s="42" t="s">
        <v>26</v>
      </c>
      <c r="E10" s="41"/>
      <c r="F10" s="41"/>
      <c r="G10" s="40"/>
      <c r="H10" s="2"/>
      <c r="I10" s="2"/>
      <c r="J10" s="78" t="s">
        <v>27</v>
      </c>
      <c r="K10" s="78"/>
      <c r="L10" s="40"/>
      <c r="M10" s="40"/>
      <c r="N10" s="2"/>
      <c r="O10" s="2"/>
      <c r="P10" s="2"/>
      <c r="Q10" s="40"/>
      <c r="S10" s="80"/>
      <c r="T10" s="80"/>
    </row>
    <row r="11" s="1" customFormat="1" ht="40.35" customHeight="1" spans="1:20">
      <c r="A11" s="34" t="s">
        <v>28</v>
      </c>
      <c r="B11" s="39" t="s">
        <v>29</v>
      </c>
      <c r="C11" s="39"/>
      <c r="D11" s="43"/>
      <c r="E11" s="43"/>
      <c r="F11" s="43"/>
      <c r="G11" s="40"/>
      <c r="H11" s="40"/>
      <c r="I11" s="2"/>
      <c r="J11" s="79"/>
      <c r="K11" s="80" t="s">
        <v>30</v>
      </c>
      <c r="L11" s="80"/>
      <c r="M11" s="80"/>
      <c r="N11" s="40"/>
      <c r="O11" s="40"/>
      <c r="P11" s="40"/>
      <c r="Q11" s="40"/>
      <c r="S11" s="80"/>
      <c r="T11" s="80"/>
    </row>
    <row r="12" s="1" customFormat="1" ht="58.2" customHeight="1" spans="1:17">
      <c r="A12" s="34" t="s">
        <v>31</v>
      </c>
      <c r="B12" s="44" t="s">
        <v>32</v>
      </c>
      <c r="C12" s="44"/>
      <c r="D12" s="45"/>
      <c r="E12" s="45"/>
      <c r="F12" s="45"/>
      <c r="G12" s="40"/>
      <c r="H12" s="40"/>
      <c r="I12" s="2"/>
      <c r="J12" s="81"/>
      <c r="K12" s="80" t="s">
        <v>33</v>
      </c>
      <c r="L12" s="80"/>
      <c r="M12" s="80"/>
      <c r="N12" s="40"/>
      <c r="O12" s="40"/>
      <c r="P12" s="40"/>
      <c r="Q12" s="40"/>
    </row>
    <row r="13" s="1" customFormat="1" ht="41.4" customHeight="1" spans="1:17">
      <c r="A13" s="34" t="s">
        <v>34</v>
      </c>
      <c r="B13" s="44" t="s">
        <v>35</v>
      </c>
      <c r="C13" s="44"/>
      <c r="D13" s="45"/>
      <c r="E13" s="45"/>
      <c r="F13" s="45"/>
      <c r="G13" s="40"/>
      <c r="H13" s="40"/>
      <c r="I13" s="2"/>
      <c r="J13" s="40"/>
      <c r="K13" s="80"/>
      <c r="L13" s="2"/>
      <c r="M13" s="2"/>
      <c r="N13" s="40"/>
      <c r="O13" s="40"/>
      <c r="P13" s="40"/>
      <c r="Q13" s="40"/>
    </row>
    <row r="14" ht="25.35" customHeight="1" spans="1:17">
      <c r="A14" s="34" t="s">
        <v>36</v>
      </c>
      <c r="B14" s="46" t="str">
        <f>IFERROR(VLOOKUP(B13,S1:T4,2,),"")</f>
        <v>Waters H-Class</v>
      </c>
      <c r="C14" s="46"/>
      <c r="D14" s="45"/>
      <c r="E14" s="45"/>
      <c r="F14" s="45"/>
      <c r="G14" s="40"/>
      <c r="H14" s="40"/>
      <c r="J14" s="40"/>
      <c r="K14" s="80"/>
      <c r="N14" s="40"/>
      <c r="O14" s="40"/>
      <c r="P14" s="40"/>
      <c r="Q14" s="40"/>
    </row>
    <row r="15" ht="23.1" customHeight="1" spans="1:17">
      <c r="A15" s="34" t="s">
        <v>37</v>
      </c>
      <c r="B15" s="44"/>
      <c r="C15" s="44"/>
      <c r="D15" s="44"/>
      <c r="E15" s="44"/>
      <c r="F15" s="44"/>
      <c r="G15" s="47"/>
      <c r="H15" s="47"/>
      <c r="I15" s="29"/>
      <c r="J15" s="40"/>
      <c r="K15" s="29"/>
      <c r="L15" s="29"/>
      <c r="M15" s="47"/>
      <c r="N15" s="47"/>
      <c r="O15" s="47"/>
      <c r="P15" s="47"/>
      <c r="Q15" s="47"/>
    </row>
    <row r="16" ht="22.35" customHeight="1" spans="1:6">
      <c r="A16" s="48" t="s">
        <v>38</v>
      </c>
      <c r="B16" s="49">
        <v>1</v>
      </c>
      <c r="C16" s="49"/>
      <c r="D16" s="49"/>
      <c r="E16" s="49"/>
      <c r="F16" s="49"/>
    </row>
    <row r="17" ht="51.9" customHeight="1" spans="1:6">
      <c r="A17" s="50" t="s">
        <v>39</v>
      </c>
      <c r="B17" s="48" t="s">
        <v>40</v>
      </c>
      <c r="C17" s="51" t="s">
        <v>41</v>
      </c>
      <c r="D17" s="51"/>
      <c r="E17" s="48" t="s">
        <v>42</v>
      </c>
      <c r="F17" s="52">
        <v>40</v>
      </c>
    </row>
    <row r="18" ht="86.4" customHeight="1" spans="1:6">
      <c r="A18" s="53"/>
      <c r="B18" s="48" t="s">
        <v>43</v>
      </c>
      <c r="C18" s="54" t="s">
        <v>44</v>
      </c>
      <c r="D18" s="54"/>
      <c r="E18" s="48" t="s">
        <v>45</v>
      </c>
      <c r="F18" s="55" t="s">
        <v>46</v>
      </c>
    </row>
    <row r="19" ht="41.4" customHeight="1" spans="1:6">
      <c r="A19" s="53"/>
      <c r="B19" s="48" t="s">
        <v>47</v>
      </c>
      <c r="C19" s="56">
        <v>0.2</v>
      </c>
      <c r="D19" s="56"/>
      <c r="E19" s="48" t="s">
        <v>48</v>
      </c>
      <c r="F19" s="49">
        <v>10</v>
      </c>
    </row>
    <row r="20" ht="33.45" customHeight="1" spans="1:6">
      <c r="A20" s="57"/>
      <c r="B20" s="48" t="s">
        <v>49</v>
      </c>
      <c r="C20" s="58" t="s">
        <v>50</v>
      </c>
      <c r="D20" s="59"/>
      <c r="E20" s="59"/>
      <c r="F20" s="60"/>
    </row>
    <row r="21" s="29" customFormat="1" ht="47.4" customHeight="1" spans="1:17">
      <c r="A21" s="61" t="s">
        <v>51</v>
      </c>
      <c r="B21" s="62" t="s">
        <v>52</v>
      </c>
      <c r="C21" s="63"/>
      <c r="D21" s="63"/>
      <c r="E21" s="62" t="s">
        <v>53</v>
      </c>
      <c r="F21" s="63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42.9" customHeight="1" spans="1:6">
      <c r="A22" s="61"/>
      <c r="B22" s="62" t="s">
        <v>54</v>
      </c>
      <c r="C22" s="64"/>
      <c r="D22" s="65"/>
      <c r="E22" s="65"/>
      <c r="F22" s="66"/>
    </row>
    <row r="23" ht="26.1" customHeight="1" spans="1:6">
      <c r="A23" s="67" t="s">
        <v>55</v>
      </c>
      <c r="B23" s="68">
        <v>0</v>
      </c>
      <c r="C23" s="69"/>
      <c r="D23" s="69"/>
      <c r="E23" s="69"/>
      <c r="F23" s="70" t="str">
        <f>IF(B23=0,"ND",B23)</f>
        <v>ND</v>
      </c>
    </row>
    <row r="24" ht="26.1" customHeight="1" spans="1:6">
      <c r="A24" s="67" t="s">
        <v>56</v>
      </c>
      <c r="B24" s="71" t="s">
        <v>57</v>
      </c>
      <c r="C24" s="71"/>
      <c r="D24" s="71"/>
      <c r="E24" s="71"/>
      <c r="F24" s="71"/>
    </row>
    <row r="25" customHeight="1" spans="1:6">
      <c r="A25" s="72" t="s">
        <v>58</v>
      </c>
      <c r="B25" s="72"/>
      <c r="C25" s="72"/>
      <c r="D25" s="72"/>
      <c r="E25" s="72"/>
      <c r="F25" s="72"/>
    </row>
    <row r="26" customHeight="1" spans="1:6">
      <c r="A26" s="34" t="s">
        <v>59</v>
      </c>
      <c r="B26" s="3"/>
      <c r="C26" s="3"/>
      <c r="D26" s="3"/>
      <c r="E26" s="3"/>
      <c r="F26" s="3"/>
    </row>
    <row r="27" customHeight="1" spans="1:6">
      <c r="A27" s="34" t="s">
        <v>60</v>
      </c>
      <c r="B27" s="3"/>
      <c r="C27" s="3"/>
      <c r="D27" s="3"/>
      <c r="E27" s="3"/>
      <c r="F27" s="3"/>
    </row>
    <row r="28" customHeight="1" spans="1:6">
      <c r="A28" s="34" t="s">
        <v>61</v>
      </c>
      <c r="B28" s="3"/>
      <c r="C28" s="3"/>
      <c r="D28" s="3"/>
      <c r="E28" s="3"/>
      <c r="F28" s="3"/>
    </row>
  </sheetData>
  <sheetProtection formatCells="0" formatColumns="0" formatRows="0" sort="0" autoFilter="0" pivotTables="0"/>
  <mergeCells count="38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F20"/>
    <mergeCell ref="C21:D21"/>
    <mergeCell ref="C22:F22"/>
    <mergeCell ref="B23:E23"/>
    <mergeCell ref="B24:F24"/>
    <mergeCell ref="A25:F25"/>
    <mergeCell ref="B26:F26"/>
    <mergeCell ref="B27:F27"/>
    <mergeCell ref="B28:F28"/>
    <mergeCell ref="A17:A20"/>
    <mergeCell ref="A21:A22"/>
    <mergeCell ref="I2:K3"/>
    <mergeCell ref="M2:O3"/>
    <mergeCell ref="I5:K7"/>
    <mergeCell ref="M5:O7"/>
  </mergeCells>
  <dataValidations count="1">
    <dataValidation type="list" allowBlank="1" showInputMessage="1" sqref="B13:F13">
      <formula1>$S$1:$S$2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zoomScale="70" zoomScaleNormal="70" workbookViewId="0">
      <selection activeCell="M11" sqref="M11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6" width="21.8888888888889" style="4" customWidth="1"/>
    <col min="7" max="7" width="14" style="5" customWidth="1"/>
    <col min="8" max="9" width="19.7777777777778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/>
      <c r="B1" s="7"/>
      <c r="C1" s="7"/>
      <c r="D1" s="7"/>
      <c r="E1" s="7"/>
      <c r="F1" s="7"/>
      <c r="G1" s="7"/>
      <c r="H1" s="7"/>
      <c r="I1" s="7"/>
      <c r="J1" s="20"/>
      <c r="K1" s="20"/>
      <c r="L1" s="20"/>
      <c r="M1" s="20"/>
      <c r="N1" s="20"/>
      <c r="O1" s="21"/>
    </row>
    <row r="2" s="1" customFormat="1" ht="25.2" customHeight="1" spans="1:28">
      <c r="A2" s="8" t="s">
        <v>62</v>
      </c>
      <c r="B2" s="8" t="s">
        <v>63</v>
      </c>
      <c r="C2" s="9" t="s">
        <v>64</v>
      </c>
      <c r="D2" s="9" t="s">
        <v>15</v>
      </c>
      <c r="E2" s="10" t="s">
        <v>65</v>
      </c>
      <c r="F2" s="11"/>
      <c r="G2" s="12"/>
      <c r="H2" s="10" t="s">
        <v>66</v>
      </c>
      <c r="I2" s="12"/>
      <c r="J2" s="22" t="s">
        <v>67</v>
      </c>
      <c r="K2" s="22"/>
      <c r="L2" s="22"/>
      <c r="M2" s="22"/>
      <c r="N2" s="22"/>
      <c r="O2" s="23" t="s">
        <v>68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1" customHeight="1" spans="1:28">
      <c r="A3" s="13"/>
      <c r="B3" s="13"/>
      <c r="C3" s="14"/>
      <c r="D3" s="14"/>
      <c r="E3" s="10" t="s">
        <v>69</v>
      </c>
      <c r="F3" s="12"/>
      <c r="G3" s="15" t="s">
        <v>70</v>
      </c>
      <c r="H3" s="9" t="s">
        <v>71</v>
      </c>
      <c r="I3" s="9" t="s">
        <v>72</v>
      </c>
      <c r="J3" s="22" t="s">
        <v>73</v>
      </c>
      <c r="K3" s="24" t="s">
        <v>74</v>
      </c>
      <c r="L3" s="22" t="s">
        <v>75</v>
      </c>
      <c r="M3" s="22" t="s">
        <v>76</v>
      </c>
      <c r="N3" s="25" t="s">
        <v>77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21" customHeight="1" spans="1:28">
      <c r="A4" s="16"/>
      <c r="B4" s="16"/>
      <c r="C4" s="17"/>
      <c r="D4" s="17"/>
      <c r="E4" s="18" t="s">
        <v>78</v>
      </c>
      <c r="F4" s="18" t="s">
        <v>79</v>
      </c>
      <c r="G4" s="19"/>
      <c r="H4" s="17"/>
      <c r="I4" s="17"/>
      <c r="J4" s="22"/>
      <c r="K4" s="26"/>
      <c r="L4" s="27"/>
      <c r="M4" s="27"/>
      <c r="N4" s="28"/>
      <c r="O4" s="23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IFERROR(IF(H5="ND","ND",baoliuxiaoshuwei(((H5-基础页!$B$23)*基础页!$B$16)/C5*5,2)),"")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IFERROR(IF(H6="ND","ND",baoliuxiaoshuwei(((H6-基础页!$B$23)*基础页!$B$16)/C6*5,2)),"")</f>
        <v/>
      </c>
    </row>
    <row r="7" ht="20.25" customHeight="1" spans="1:9">
      <c r="A7" s="3"/>
      <c r="G7" s="5" t="str">
        <f t="shared" si="0"/>
        <v/>
      </c>
      <c r="I7" s="5" t="str">
        <f>IFERROR(IF(H7="ND","ND",baoliuxiaoshuwei(((H7-基础页!$B$23)*基础页!$B$16)/C7*5,2)),"")</f>
        <v/>
      </c>
    </row>
    <row r="8" ht="20.25" customHeight="1" spans="1:9">
      <c r="A8" s="3"/>
      <c r="G8" s="5" t="str">
        <f t="shared" si="0"/>
        <v/>
      </c>
      <c r="I8" s="5" t="str">
        <f>IFERROR(IF(H8="ND","ND",baoliuxiaoshuwei(((H8-基础页!$B$23)*基础页!$B$16)/C8*5,2)),"")</f>
        <v/>
      </c>
    </row>
    <row r="9" ht="20.25" customHeight="1" spans="1:9">
      <c r="A9" s="3"/>
      <c r="G9" s="5" t="str">
        <f t="shared" si="0"/>
        <v/>
      </c>
      <c r="I9" s="5" t="str">
        <f>IFERROR(IF(H9="ND","ND",baoliuxiaoshuwei(((H9-基础页!$B$23)*基础页!$B$16)/C9*5,2)),"")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IFERROR(IF(H10="ND","ND",baoliuxiaoshuwei(((H10-基础页!$B$23)*基础页!$B$16)/C10*5,2)),"")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IFERROR(IF(H11="ND","ND",baoliuxiaoshuwei(((H11-基础页!$B$23)*基础页!$B$16)/C11*5,2)),"")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IFERROR(IF(H12="ND","ND",baoliuxiaoshuwei(((H12-基础页!$B$23)*基础页!$B$16)/C12*5,2)),"")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IFERROR(IF(H13="ND","ND",baoliuxiaoshuwei(((H13-基础页!$B$23)*基础页!$B$16)/C13*5,2)),"")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IFERROR(IF(H14="ND","ND",baoliuxiaoshuwei(((H14-基础页!$B$23)*基础页!$B$16)/C14*5,2)),"")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IFERROR(IF(H15="ND","ND",baoliuxiaoshuwei(((H15-基础页!$B$23)*基础页!$B$16)/C15*5,2)),"")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IFERROR(IF(H16="ND","ND",baoliuxiaoshuwei(((H16-基础页!$B$23)*基础页!$B$16)/C16*5,2)),"")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IFERROR(IF(H17="ND","ND",baoliuxiaoshuwei(((H17-基础页!$B$23)*基础页!$B$16)/C17*5,2)),"")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IFERROR(IF(H18="ND","ND",baoliuxiaoshuwei(((H18-基础页!$B$23)*基础页!$B$16)/C18*5,2)),"")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IFERROR(IF(H19="ND","ND",baoliuxiaoshuwei(((H19-基础页!$B$23)*基础页!$B$16)/C19*5,2)),"")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IFERROR(IF(H20="ND","ND",baoliuxiaoshuwei(((H20-基础页!$B$23)*基础页!$B$16)/C20*5,2)),"")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IFERROR(IF(H21="ND","ND",baoliuxiaoshuwei(((H21-基础页!$B$23)*基础页!$B$16)/C21*5,2)),"")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IFERROR(IF(H22="ND","ND",baoliuxiaoshuwei(((H22-基础页!$B$23)*基础页!$B$16)/C22*5,2)),"")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IFERROR(IF(H23="ND","ND",baoliuxiaoshuwei(((H23-基础页!$B$23)*基础页!$B$16)/C23*5,2)),"")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IFERROR(IF(H24="ND","ND",baoliuxiaoshuwei(((H24-基础页!$B$23)*基础页!$B$16)/C24*5,2)),"")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IFERROR(IF(H25="ND","ND",baoliuxiaoshuwei(((H25-基础页!$B$23)*基础页!$B$16)/C25*5,2)),"")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IFERROR(IF(H26="ND","ND",baoliuxiaoshuwei(((H26-基础页!$B$23)*基础页!$B$16)/C26*5,2)),"")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IFERROR(IF(H27="ND","ND",baoliuxiaoshuwei(((H27-基础页!$B$23)*基础页!$B$16)/C27*5,2)),"")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IFERROR(IF(H28="ND","ND",baoliuxiaoshuwei(((H28-基础页!$B$23)*基础页!$B$16)/C28*5,2)),"")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IFERROR(IF(H29="ND","ND",baoliuxiaoshuwei(((H29-基础页!$B$23)*基础页!$B$16)/C29*5,2)),"")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IFERROR(IF(H30="ND","ND",baoliuxiaoshuwei(((H30-基础页!$B$23)*基础页!$B$16)/C30*5,2)),"")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IFERROR(IF(H31="ND","ND",baoliuxiaoshuwei(((H31-基础页!$B$23)*基础页!$B$16)/C31*5,2)),"")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IFERROR(IF(H32="ND","ND",baoliuxiaoshuwei(((H32-基础页!$B$23)*基础页!$B$16)/C32*5,2)),"")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IFERROR(IF(H33="ND","ND",baoliuxiaoshuwei(((H33-基础页!$B$23)*基础页!$B$16)/C33*5,2)),"")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IFERROR(IF(H34="ND","ND",baoliuxiaoshuwei(((H34-基础页!$B$23)*基础页!$B$16)/C34*5,2)),"")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IFERROR(IF(H35="ND","ND",baoliuxiaoshuwei(((H35-基础页!$B$23)*基础页!$B$16)/C35*5,2)),"")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IFERROR(IF(H36="ND","ND",baoliuxiaoshuwei(((H36-基础页!$B$23)*基础页!$B$16)/C36*5,2)),"")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IFERROR(IF(H37="ND","ND",baoliuxiaoshuwei(((H37-基础页!$B$23)*基础页!$B$16)/C37*5,2)),"")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IFERROR(IF(H38="ND","ND",baoliuxiaoshuwei(((H38-基础页!$B$23)*基础页!$B$16)/C38*5,2)),"")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IFERROR(IF(H39="ND","ND",baoliuxiaoshuwei(((H39-基础页!$B$23)*基础页!$B$16)/C39*5,2)),"")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IFERROR(IF(H40="ND","ND",baoliuxiaoshuwei(((H40-基础页!$B$23)*基础页!$B$16)/C40*5,2)),"")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IFERROR(IF(H41="ND","ND",baoliuxiaoshuwei(((H41-基础页!$B$23)*基础页!$B$16)/C41*5,2)),"")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IFERROR(IF(H42="ND","ND",baoliuxiaoshuwei(((H42-基础页!$B$23)*基础页!$B$16)/C42*5,2)),"")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IFERROR(IF(H43="ND","ND",baoliuxiaoshuwei(((H43-基础页!$B$23)*基础页!$B$16)/C43*5,2)),"")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IFERROR(IF(H44="ND","ND",baoliuxiaoshuwei(((H44-基础页!$B$23)*基础页!$B$16)/C44*5,2)),"")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IFERROR(IF(H45="ND","ND",baoliuxiaoshuwei(((H45-基础页!$B$23)*基础页!$B$16)/C45*5,2)),"")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IFERROR(IF(H46="ND","ND",baoliuxiaoshuwei(((H46-基础页!$B$23)*基础页!$B$16)/C46*5,2)),"")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IFERROR(IF(H47="ND","ND",baoliuxiaoshuwei(((H47-基础页!$B$23)*基础页!$B$16)/C47*5,2)),"")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IFERROR(IF(H48="ND","ND",baoliuxiaoshuwei(((H48-基础页!$B$23)*基础页!$B$16)/C48*5,2)),"")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IFERROR(IF(H49="ND","ND",baoliuxiaoshuwei(((H49-基础页!$B$23)*基础页!$B$16)/C49*5,2)),"")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IFERROR(IF(H50="ND","ND",baoliuxiaoshuwei(((H50-基础页!$B$23)*基础页!$B$16)/C50*5,2)),"")</f>
        <v/>
      </c>
    </row>
    <row r="51" ht="20.25" customHeight="1" spans="1:9">
      <c r="A51" s="3"/>
      <c r="G51" s="5" t="str">
        <f t="shared" si="0"/>
        <v/>
      </c>
      <c r="I51" s="5" t="str">
        <f>IFERROR(IF(H51="ND","ND",baoliuxiaoshuwei(((H51-基础页!$B$23)*基础页!$B$16)/C51*5,2)),"")</f>
        <v/>
      </c>
    </row>
    <row r="52" ht="20.25" customHeight="1" spans="1:9">
      <c r="A52" s="3"/>
      <c r="G52" s="5" t="str">
        <f t="shared" si="0"/>
        <v/>
      </c>
      <c r="I52" s="5" t="str">
        <f>IFERROR(IF(H52="ND","ND",baoliuxiaoshuwei(((H52-基础页!$B$23)*基础页!$B$16)/C52*5,2)),"")</f>
        <v/>
      </c>
    </row>
    <row r="53" ht="20.25" customHeight="1" spans="1:9">
      <c r="A53" s="3"/>
      <c r="G53" s="5" t="str">
        <f t="shared" si="0"/>
        <v/>
      </c>
      <c r="I53" s="5" t="str">
        <f>IFERROR(IF(H53="ND","ND",baoliuxiaoshuwei(((H53-基础页!$B$23)*基础页!$B$16)/C53*5,2)),"")</f>
        <v/>
      </c>
    </row>
    <row r="54" ht="20.25" customHeight="1" spans="1:9">
      <c r="A54" s="3"/>
      <c r="G54" s="5" t="str">
        <f t="shared" si="0"/>
        <v/>
      </c>
      <c r="I54" s="5" t="str">
        <f>IFERROR(IF(H54="ND","ND",baoliuxiaoshuwei(((H54-基础页!$B$23)*基础页!$B$16)/C54*5,2)),"")</f>
        <v/>
      </c>
    </row>
    <row r="55" ht="20.25" customHeight="1" spans="1:9">
      <c r="A55" s="3"/>
      <c r="G55" s="5" t="str">
        <f t="shared" si="0"/>
        <v/>
      </c>
      <c r="I55" s="5" t="str">
        <f>IFERROR(IF(H55="ND","ND",baoliuxiaoshuwei(((H55-基础页!$B$23)*基础页!$B$16)/C55*5,2)),"")</f>
        <v/>
      </c>
    </row>
    <row r="56" ht="20.25" customHeight="1" spans="1:9">
      <c r="A56" s="3"/>
      <c r="G56" s="5" t="str">
        <f t="shared" si="0"/>
        <v/>
      </c>
      <c r="I56" s="5" t="str">
        <f>IFERROR(IF(H56="ND","ND",baoliuxiaoshuwei(((H56-基础页!$B$23)*基础页!$B$16)/C56*5,2)),"")</f>
        <v/>
      </c>
    </row>
    <row r="57" ht="20.25" customHeight="1" spans="1:9">
      <c r="A57" s="3"/>
      <c r="G57" s="5" t="str">
        <f t="shared" si="0"/>
        <v/>
      </c>
      <c r="I57" s="5" t="str">
        <f>IFERROR(IF(H57="ND","ND",baoliuxiaoshuwei(((H57-基础页!$B$23)*基础页!$B$16)/C57*5,2)),"")</f>
        <v/>
      </c>
    </row>
    <row r="58" ht="20.25" customHeight="1" spans="1:9">
      <c r="A58" s="3"/>
      <c r="G58" s="5" t="str">
        <f t="shared" si="0"/>
        <v/>
      </c>
      <c r="I58" s="5" t="str">
        <f>IFERROR(IF(H58="ND","ND",baoliuxiaoshuwei(((H58-基础页!$B$23)*基础页!$B$16)/C58*5,2)),"")</f>
        <v/>
      </c>
    </row>
    <row r="59" ht="20.25" customHeight="1" spans="1:9">
      <c r="A59" s="3"/>
      <c r="G59" s="5" t="str">
        <f t="shared" si="0"/>
        <v/>
      </c>
      <c r="I59" s="5" t="str">
        <f>IFERROR(IF(H59="ND","ND",baoliuxiaoshuwei(((H59-基础页!$B$23)*基础页!$B$16)/C59*5,2)),"")</f>
        <v/>
      </c>
    </row>
    <row r="60" ht="20.25" customHeight="1" spans="1:9">
      <c r="A60" s="3"/>
      <c r="G60" s="5" t="str">
        <f t="shared" si="0"/>
        <v/>
      </c>
      <c r="I60" s="5" t="str">
        <f>IFERROR(IF(H60="ND","ND",baoliuxiaoshuwei(((H60-基础页!$B$23)*基础页!$B$16)/C60*5,2)),"")</f>
        <v/>
      </c>
    </row>
    <row r="61" ht="20.25" customHeight="1" spans="1:9">
      <c r="A61" s="3"/>
      <c r="G61" s="5" t="str">
        <f t="shared" si="0"/>
        <v/>
      </c>
      <c r="I61" s="5" t="str">
        <f>IFERROR(IF(H61="ND","ND",baoliuxiaoshuwei(((H61-基础页!$B$23)*基础页!$B$16)/C61*5,2)),"")</f>
        <v/>
      </c>
    </row>
    <row r="62" ht="20.25" customHeight="1" spans="1:9">
      <c r="A62" s="3"/>
      <c r="G62" s="5" t="str">
        <f t="shared" si="0"/>
        <v/>
      </c>
      <c r="I62" s="5" t="str">
        <f>IFERROR(IF(H62="ND","ND",baoliuxiaoshuwei(((H62-基础页!$B$23)*基础页!$B$16)/C62*5,2)),"")</f>
        <v/>
      </c>
    </row>
    <row r="63" ht="20.25" customHeight="1" spans="1:9">
      <c r="A63" s="3"/>
      <c r="G63" s="5" t="str">
        <f t="shared" si="0"/>
        <v/>
      </c>
      <c r="I63" s="5" t="str">
        <f>IFERROR(IF(H63="ND","ND",baoliuxiaoshuwei(((H63-基础页!$B$23)*基础页!$B$16)/C63*5,2)),"")</f>
        <v/>
      </c>
    </row>
    <row r="64" ht="20.25" customHeight="1" spans="1:9">
      <c r="A64" s="3"/>
      <c r="G64" s="5" t="str">
        <f t="shared" si="0"/>
        <v/>
      </c>
      <c r="I64" s="5" t="str">
        <f>IFERROR(IF(H64="ND","ND",baoliuxiaoshuwei(((H64-基础页!$B$23)*基础页!$B$16)/C64*5,2)),"")</f>
        <v/>
      </c>
    </row>
    <row r="65" ht="20.25" customHeight="1" spans="1:9">
      <c r="A65" s="3"/>
      <c r="G65" s="5" t="str">
        <f t="shared" si="0"/>
        <v/>
      </c>
      <c r="I65" s="5" t="str">
        <f>IFERROR(IF(H65="ND","ND",baoliuxiaoshuwei(((H65-基础页!$B$23)*基础页!$B$16)/C65*5,2)),"")</f>
        <v/>
      </c>
    </row>
    <row r="66" ht="20.25" customHeight="1" spans="1:9">
      <c r="A66" s="3"/>
      <c r="G66" s="5" t="str">
        <f t="shared" si="0"/>
        <v/>
      </c>
      <c r="I66" s="5" t="str">
        <f>IFERROR(IF(H66="ND","ND",baoliuxiaoshuwei(((H66-基础页!$B$23)*基础页!$B$16)/C66*5,2)),"")</f>
        <v/>
      </c>
    </row>
    <row r="67" ht="20.25" customHeight="1" spans="1:9">
      <c r="A67" s="3"/>
      <c r="G67" s="5" t="str">
        <f t="shared" si="0"/>
        <v/>
      </c>
      <c r="I67" s="5" t="str">
        <f>IFERROR(IF(H67="ND","ND",baoliuxiaoshuwei(((H67-基础页!$B$23)*基础页!$B$16)/C67*5,2)),"")</f>
        <v/>
      </c>
    </row>
    <row r="68" ht="20.25" customHeight="1" spans="1:9">
      <c r="A68" s="3"/>
      <c r="G68" s="5" t="str">
        <f t="shared" si="0"/>
        <v/>
      </c>
      <c r="I68" s="5" t="str">
        <f>IFERROR(IF(H68="ND","ND",baoliuxiaoshuwei(((H68-基础页!$B$23)*基础页!$B$16)/C68*5,2)),"")</f>
        <v/>
      </c>
    </row>
    <row r="69" ht="20.25" customHeight="1" spans="1:9">
      <c r="A69" s="3"/>
      <c r="G69" s="5" t="str">
        <f t="shared" si="0"/>
        <v/>
      </c>
      <c r="I69" s="5" t="str">
        <f>IFERROR(IF(H69="ND","ND",baoliuxiaoshuwei(((H69-基础页!$B$23)*基础页!$B$16)/C69*5,2)),"")</f>
        <v/>
      </c>
    </row>
    <row r="70" ht="20.25" customHeight="1" spans="1:9">
      <c r="A70" s="3"/>
      <c r="G70" s="5" t="str">
        <f t="shared" ref="G70:G129" si="1">IFERROR(IF(ISBLANK(H70),"",IF(I70="ND","否","是")),"")</f>
        <v/>
      </c>
      <c r="I70" s="5" t="str">
        <f>IFERROR(IF(H70="ND","ND",baoliuxiaoshuwei(((H70-基础页!$B$23)*基础页!$B$16)/C70*5,2)),"")</f>
        <v/>
      </c>
    </row>
    <row r="71" ht="20.25" customHeight="1" spans="1:9">
      <c r="A71" s="3"/>
      <c r="G71" s="5" t="str">
        <f t="shared" si="1"/>
        <v/>
      </c>
      <c r="I71" s="5" t="str">
        <f>IFERROR(IF(H71="ND","ND",baoliuxiaoshuwei(((H71-基础页!$B$23)*基础页!$B$16)/C71*5,2)),"")</f>
        <v/>
      </c>
    </row>
    <row r="72" ht="20.25" customHeight="1" spans="1:9">
      <c r="A72" s="3"/>
      <c r="G72" s="5" t="str">
        <f t="shared" si="1"/>
        <v/>
      </c>
      <c r="I72" s="5" t="str">
        <f>IFERROR(IF(H72="ND","ND",baoliuxiaoshuwei(((H72-基础页!$B$23)*基础页!$B$16)/C72*5,2)),"")</f>
        <v/>
      </c>
    </row>
    <row r="73" ht="20.25" customHeight="1" spans="1:9">
      <c r="A73" s="3"/>
      <c r="G73" s="5" t="str">
        <f t="shared" si="1"/>
        <v/>
      </c>
      <c r="I73" s="5" t="str">
        <f>IFERROR(IF(H73="ND","ND",baoliuxiaoshuwei(((H73-基础页!$B$23)*基础页!$B$16)/C73*5,2)),"")</f>
        <v/>
      </c>
    </row>
    <row r="74" ht="20.25" customHeight="1" spans="1:9">
      <c r="A74" s="3"/>
      <c r="G74" s="5" t="str">
        <f t="shared" si="1"/>
        <v/>
      </c>
      <c r="I74" s="5" t="str">
        <f>IFERROR(IF(H74="ND","ND",baoliuxiaoshuwei(((H74-基础页!$B$23)*基础页!$B$16)/C74*5,2)),"")</f>
        <v/>
      </c>
    </row>
    <row r="75" ht="20.25" customHeight="1" spans="1:9">
      <c r="A75" s="3"/>
      <c r="G75" s="5" t="str">
        <f t="shared" si="1"/>
        <v/>
      </c>
      <c r="I75" s="5" t="str">
        <f>IFERROR(IF(H75="ND","ND",baoliuxiaoshuwei(((H75-基础页!$B$23)*基础页!$B$16)/C75*5,2)),"")</f>
        <v/>
      </c>
    </row>
    <row r="76" ht="20.25" customHeight="1" spans="1:9">
      <c r="A76" s="3"/>
      <c r="G76" s="5" t="str">
        <f t="shared" si="1"/>
        <v/>
      </c>
      <c r="I76" s="5" t="str">
        <f>IFERROR(IF(H76="ND","ND",baoliuxiaoshuwei(((H76-基础页!$B$23)*基础页!$B$16)/C76*5,2)),"")</f>
        <v/>
      </c>
    </row>
    <row r="77" ht="20.25" customHeight="1" spans="1:9">
      <c r="A77" s="3"/>
      <c r="G77" s="5" t="str">
        <f t="shared" si="1"/>
        <v/>
      </c>
      <c r="I77" s="5" t="str">
        <f>IFERROR(IF(H77="ND","ND",baoliuxiaoshuwei(((H77-基础页!$B$23)*基础页!$B$16)/C77*5,2)),"")</f>
        <v/>
      </c>
    </row>
    <row r="78" ht="20.25" customHeight="1" spans="1:9">
      <c r="A78" s="3"/>
      <c r="G78" s="5" t="str">
        <f t="shared" si="1"/>
        <v/>
      </c>
      <c r="I78" s="5" t="str">
        <f>IFERROR(IF(H78="ND","ND",baoliuxiaoshuwei(((H78-基础页!$B$23)*基础页!$B$16)/C78*5,2)),"")</f>
        <v/>
      </c>
    </row>
    <row r="79" ht="20.25" customHeight="1" spans="1:9">
      <c r="A79" s="3"/>
      <c r="G79" s="5" t="str">
        <f t="shared" si="1"/>
        <v/>
      </c>
      <c r="I79" s="5" t="str">
        <f>IFERROR(IF(H79="ND","ND",baoliuxiaoshuwei(((H79-基础页!$B$23)*基础页!$B$16)/C79*5,2)),"")</f>
        <v/>
      </c>
    </row>
    <row r="80" ht="20.25" customHeight="1" spans="1:9">
      <c r="A80" s="3"/>
      <c r="G80" s="5" t="str">
        <f t="shared" si="1"/>
        <v/>
      </c>
      <c r="I80" s="5" t="str">
        <f>IFERROR(IF(H80="ND","ND",baoliuxiaoshuwei(((H80-基础页!$B$23)*基础页!$B$16)/C80*5,2)),"")</f>
        <v/>
      </c>
    </row>
    <row r="81" ht="20.25" customHeight="1" spans="1:9">
      <c r="A81" s="3"/>
      <c r="G81" s="5" t="str">
        <f t="shared" si="1"/>
        <v/>
      </c>
      <c r="I81" s="5" t="str">
        <f>IFERROR(IF(H81="ND","ND",baoliuxiaoshuwei(((H81-基础页!$B$23)*基础页!$B$16)/C81*5,2)),"")</f>
        <v/>
      </c>
    </row>
    <row r="82" ht="20.25" customHeight="1" spans="1:9">
      <c r="A82" s="3"/>
      <c r="G82" s="5" t="str">
        <f t="shared" si="1"/>
        <v/>
      </c>
      <c r="I82" s="5" t="str">
        <f>IFERROR(IF(H82="ND","ND",baoliuxiaoshuwei(((H82-基础页!$B$23)*基础页!$B$16)/C82*5,2)),"")</f>
        <v/>
      </c>
    </row>
    <row r="83" ht="20.25" customHeight="1" spans="1:9">
      <c r="A83" s="3"/>
      <c r="G83" s="5" t="str">
        <f t="shared" si="1"/>
        <v/>
      </c>
      <c r="I83" s="5" t="str">
        <f>IFERROR(IF(H83="ND","ND",baoliuxiaoshuwei(((H83-基础页!$B$23)*基础页!$B$16)/C83*5,2)),"")</f>
        <v/>
      </c>
    </row>
    <row r="84" ht="20.25" customHeight="1" spans="1:9">
      <c r="A84" s="3"/>
      <c r="G84" s="5" t="str">
        <f t="shared" si="1"/>
        <v/>
      </c>
      <c r="I84" s="5" t="str">
        <f>IFERROR(IF(H84="ND","ND",baoliuxiaoshuwei(((H84-基础页!$B$23)*基础页!$B$16)/C84*5,2)),"")</f>
        <v/>
      </c>
    </row>
    <row r="85" ht="20.25" customHeight="1" spans="1:9">
      <c r="A85" s="3"/>
      <c r="G85" s="5" t="str">
        <f t="shared" si="1"/>
        <v/>
      </c>
      <c r="I85" s="5" t="str">
        <f>IFERROR(IF(H85="ND","ND",baoliuxiaoshuwei(((H85-基础页!$B$23)*基础页!$B$16)/C85*5,2)),"")</f>
        <v/>
      </c>
    </row>
    <row r="86" ht="20.25" customHeight="1" spans="1:9">
      <c r="A86" s="3"/>
      <c r="G86" s="5" t="str">
        <f t="shared" si="1"/>
        <v/>
      </c>
      <c r="I86" s="5" t="str">
        <f>IFERROR(IF(H86="ND","ND",baoliuxiaoshuwei(((H86-基础页!$B$23)*基础页!$B$16)/C86*5,2)),"")</f>
        <v/>
      </c>
    </row>
    <row r="87" ht="20.25" customHeight="1" spans="1:9">
      <c r="A87" s="3"/>
      <c r="G87" s="5" t="str">
        <f t="shared" si="1"/>
        <v/>
      </c>
      <c r="I87" s="5" t="str">
        <f>IFERROR(IF(H87="ND","ND",baoliuxiaoshuwei(((H87-基础页!$B$23)*基础页!$B$16)/C87*5,2)),"")</f>
        <v/>
      </c>
    </row>
    <row r="88" ht="20.25" customHeight="1" spans="1:9">
      <c r="A88" s="3"/>
      <c r="G88" s="5" t="str">
        <f t="shared" si="1"/>
        <v/>
      </c>
      <c r="I88" s="5" t="str">
        <f>IFERROR(IF(H88="ND","ND",baoliuxiaoshuwei(((H88-基础页!$B$23)*基础页!$B$16)/C88*5,2)),"")</f>
        <v/>
      </c>
    </row>
    <row r="89" ht="20.25" customHeight="1" spans="1:9">
      <c r="A89" s="3"/>
      <c r="G89" s="5" t="str">
        <f t="shared" si="1"/>
        <v/>
      </c>
      <c r="I89" s="5" t="str">
        <f>IFERROR(IF(H89="ND","ND",baoliuxiaoshuwei(((H89-基础页!$B$23)*基础页!$B$16)/C89*5,2)),"")</f>
        <v/>
      </c>
    </row>
    <row r="90" ht="20.25" customHeight="1" spans="1:9">
      <c r="A90" s="3"/>
      <c r="G90" s="5" t="str">
        <f t="shared" si="1"/>
        <v/>
      </c>
      <c r="I90" s="5" t="str">
        <f>IFERROR(IF(H90="ND","ND",baoliuxiaoshuwei(((H90-基础页!$B$23)*基础页!$B$16)/C90*5,2)),"")</f>
        <v/>
      </c>
    </row>
    <row r="91" ht="20.25" customHeight="1" spans="1:9">
      <c r="A91" s="3"/>
      <c r="G91" s="5" t="str">
        <f t="shared" si="1"/>
        <v/>
      </c>
      <c r="I91" s="5" t="str">
        <f>IFERROR(IF(H91="ND","ND",baoliuxiaoshuwei(((H91-基础页!$B$23)*基础页!$B$16)/C91*5,2)),"")</f>
        <v/>
      </c>
    </row>
    <row r="92" ht="20.25" customHeight="1" spans="1:9">
      <c r="A92" s="3"/>
      <c r="G92" s="5" t="str">
        <f t="shared" si="1"/>
        <v/>
      </c>
      <c r="I92" s="5" t="str">
        <f>IFERROR(IF(H92="ND","ND",baoliuxiaoshuwei(((H92-基础页!$B$23)*基础页!$B$16)/C92*5,2)),"")</f>
        <v/>
      </c>
    </row>
    <row r="93" ht="20.25" customHeight="1" spans="1:9">
      <c r="A93" s="3"/>
      <c r="G93" s="5" t="str">
        <f t="shared" si="1"/>
        <v/>
      </c>
      <c r="I93" s="5" t="str">
        <f>IFERROR(IF(H93="ND","ND",baoliuxiaoshuwei(((H93-基础页!$B$23)*基础页!$B$16)/C93*5,2)),"")</f>
        <v/>
      </c>
    </row>
    <row r="94" ht="20.25" customHeight="1" spans="1:9">
      <c r="A94" s="3"/>
      <c r="G94" s="5" t="str">
        <f t="shared" si="1"/>
        <v/>
      </c>
      <c r="I94" s="5" t="str">
        <f>IFERROR(IF(H94="ND","ND",baoliuxiaoshuwei(((H94-基础页!$B$23)*基础页!$B$16)/C94*5,2)),"")</f>
        <v/>
      </c>
    </row>
    <row r="95" ht="20.25" customHeight="1" spans="1:9">
      <c r="A95" s="3"/>
      <c r="G95" s="5" t="str">
        <f t="shared" si="1"/>
        <v/>
      </c>
      <c r="I95" s="5" t="str">
        <f>IFERROR(IF(H95="ND","ND",baoliuxiaoshuwei(((H95-基础页!$B$23)*基础页!$B$16)/C95*5,2)),"")</f>
        <v/>
      </c>
    </row>
    <row r="96" ht="20.25" customHeight="1" spans="1:9">
      <c r="A96" s="3"/>
      <c r="G96" s="5" t="str">
        <f t="shared" si="1"/>
        <v/>
      </c>
      <c r="I96" s="5" t="str">
        <f>IFERROR(IF(H96="ND","ND",baoliuxiaoshuwei(((H96-基础页!$B$23)*基础页!$B$16)/C96*5,2)),"")</f>
        <v/>
      </c>
    </row>
    <row r="97" ht="20.25" customHeight="1" spans="1:9">
      <c r="A97" s="3"/>
      <c r="G97" s="5" t="str">
        <f t="shared" si="1"/>
        <v/>
      </c>
      <c r="I97" s="5" t="str">
        <f>IFERROR(IF(H97="ND","ND",baoliuxiaoshuwei(((H97-基础页!$B$23)*基础页!$B$16)/C97*5,2)),"")</f>
        <v/>
      </c>
    </row>
    <row r="98" ht="20.25" customHeight="1" spans="1:9">
      <c r="A98" s="3"/>
      <c r="G98" s="5" t="str">
        <f t="shared" si="1"/>
        <v/>
      </c>
      <c r="I98" s="5" t="str">
        <f>IFERROR(IF(H98="ND","ND",baoliuxiaoshuwei(((H98-基础页!$B$23)*基础页!$B$16)/C98*5,2)),"")</f>
        <v/>
      </c>
    </row>
    <row r="99" ht="20.25" customHeight="1" spans="1:9">
      <c r="A99" s="3"/>
      <c r="G99" s="5" t="str">
        <f t="shared" si="1"/>
        <v/>
      </c>
      <c r="I99" s="5" t="str">
        <f>IFERROR(IF(H99="ND","ND",baoliuxiaoshuwei(((H99-基础页!$B$23)*基础页!$B$16)/C99*5,2)),"")</f>
        <v/>
      </c>
    </row>
    <row r="100" ht="20.25" customHeight="1" spans="1:9">
      <c r="A100" s="3"/>
      <c r="G100" s="5" t="str">
        <f t="shared" si="1"/>
        <v/>
      </c>
      <c r="I100" s="5" t="str">
        <f>IFERROR(IF(H100="ND","ND",baoliuxiaoshuwei(((H100-基础页!$B$23)*基础页!$B$16)/C100*5,2)),"")</f>
        <v/>
      </c>
    </row>
    <row r="101" ht="20.25" customHeight="1" spans="1:9">
      <c r="A101" s="3"/>
      <c r="G101" s="5" t="str">
        <f t="shared" si="1"/>
        <v/>
      </c>
      <c r="I101" s="5" t="str">
        <f>IFERROR(IF(H101="ND","ND",baoliuxiaoshuwei(((H101-基础页!$B$23)*基础页!$B$16)/C101*5,2)),"")</f>
        <v/>
      </c>
    </row>
    <row r="102" ht="20.25" customHeight="1" spans="1:9">
      <c r="A102" s="3"/>
      <c r="G102" s="5" t="str">
        <f t="shared" si="1"/>
        <v/>
      </c>
      <c r="I102" s="5" t="str">
        <f>IFERROR(IF(H102="ND","ND",baoliuxiaoshuwei(((H102-基础页!$B$23)*基础页!$B$16)/C102*5,2)),"")</f>
        <v/>
      </c>
    </row>
    <row r="103" ht="20.25" customHeight="1" spans="1:9">
      <c r="A103" s="3"/>
      <c r="G103" s="5" t="str">
        <f t="shared" si="1"/>
        <v/>
      </c>
      <c r="I103" s="5" t="str">
        <f>IFERROR(IF(H103="ND","ND",baoliuxiaoshuwei(((H103-基础页!$B$23)*基础页!$B$16)/C103*5,2)),"")</f>
        <v/>
      </c>
    </row>
    <row r="104" ht="20.25" customHeight="1" spans="1:9">
      <c r="A104" s="3"/>
      <c r="G104" s="5" t="str">
        <f t="shared" si="1"/>
        <v/>
      </c>
      <c r="I104" s="5" t="str">
        <f>IFERROR(IF(H104="ND","ND",baoliuxiaoshuwei(((H104-基础页!$B$23)*基础页!$B$16)/C104*5,2)),"")</f>
        <v/>
      </c>
    </row>
    <row r="105" ht="20.25" customHeight="1" spans="1:9">
      <c r="A105" s="3"/>
      <c r="G105" s="5" t="str">
        <f t="shared" si="1"/>
        <v/>
      </c>
      <c r="I105" s="5" t="str">
        <f>IFERROR(IF(H105="ND","ND",baoliuxiaoshuwei(((H105-基础页!$B$23)*基础页!$B$16)/C105*5,2)),"")</f>
        <v/>
      </c>
    </row>
    <row r="106" ht="20.25" customHeight="1" spans="1:9">
      <c r="A106" s="3"/>
      <c r="G106" s="5" t="str">
        <f t="shared" si="1"/>
        <v/>
      </c>
      <c r="I106" s="5" t="str">
        <f>IFERROR(IF(H106="ND","ND",baoliuxiaoshuwei(((H106-基础页!$B$23)*基础页!$B$16)/C106*5,2)),"")</f>
        <v/>
      </c>
    </row>
    <row r="107" ht="20.25" customHeight="1" spans="1:9">
      <c r="A107" s="3"/>
      <c r="G107" s="5" t="str">
        <f t="shared" si="1"/>
        <v/>
      </c>
      <c r="I107" s="5" t="str">
        <f>IFERROR(IF(H107="ND","ND",baoliuxiaoshuwei(((H107-基础页!$B$23)*基础页!$B$16)/C107*5,2)),"")</f>
        <v/>
      </c>
    </row>
    <row r="108" ht="20.25" customHeight="1" spans="1:9">
      <c r="A108" s="3"/>
      <c r="G108" s="5" t="str">
        <f t="shared" si="1"/>
        <v/>
      </c>
      <c r="I108" s="5" t="str">
        <f>IFERROR(IF(H108="ND","ND",baoliuxiaoshuwei(((H108-基础页!$B$23)*基础页!$B$16)/C108*5,2)),"")</f>
        <v/>
      </c>
    </row>
    <row r="109" ht="20.25" customHeight="1" spans="1:9">
      <c r="A109" s="3"/>
      <c r="G109" s="5" t="str">
        <f t="shared" si="1"/>
        <v/>
      </c>
      <c r="I109" s="5" t="str">
        <f>IFERROR(IF(H109="ND","ND",baoliuxiaoshuwei(((H109-基础页!$B$23)*基础页!$B$16)/C109*5,2)),"")</f>
        <v/>
      </c>
    </row>
    <row r="110" ht="20.25" customHeight="1" spans="1:9">
      <c r="A110" s="3"/>
      <c r="G110" s="5" t="str">
        <f t="shared" si="1"/>
        <v/>
      </c>
      <c r="I110" s="5" t="str">
        <f>IFERROR(IF(H110="ND","ND",baoliuxiaoshuwei(((H110-基础页!$B$23)*基础页!$B$16)/C110*5,2)),"")</f>
        <v/>
      </c>
    </row>
    <row r="111" ht="20.25" customHeight="1" spans="1:9">
      <c r="A111" s="3"/>
      <c r="G111" s="5" t="str">
        <f t="shared" si="1"/>
        <v/>
      </c>
      <c r="I111" s="5" t="str">
        <f>IFERROR(IF(H111="ND","ND",baoliuxiaoshuwei(((H111-基础页!$B$23)*基础页!$B$16)/C111*5,2)),"")</f>
        <v/>
      </c>
    </row>
    <row r="112" ht="20.25" customHeight="1" spans="1:9">
      <c r="A112" s="3"/>
      <c r="G112" s="5" t="str">
        <f t="shared" si="1"/>
        <v/>
      </c>
      <c r="I112" s="5" t="str">
        <f>IFERROR(IF(H112="ND","ND",baoliuxiaoshuwei(((H112-基础页!$B$23)*基础页!$B$16)/C112*5,2)),"")</f>
        <v/>
      </c>
    </row>
    <row r="113" ht="20.25" customHeight="1" spans="1:9">
      <c r="A113" s="3"/>
      <c r="G113" s="5" t="str">
        <f t="shared" si="1"/>
        <v/>
      </c>
      <c r="I113" s="5" t="str">
        <f>IFERROR(IF(H113="ND","ND",baoliuxiaoshuwei(((H113-基础页!$B$23)*基础页!$B$16)/C113*5,2)),"")</f>
        <v/>
      </c>
    </row>
    <row r="114" ht="20.25" customHeight="1" spans="1:9">
      <c r="A114" s="3"/>
      <c r="G114" s="5" t="str">
        <f t="shared" si="1"/>
        <v/>
      </c>
      <c r="I114" s="5" t="str">
        <f>IFERROR(IF(H114="ND","ND",baoliuxiaoshuwei(((H114-基础页!$B$23)*基础页!$B$16)/C114*5,2)),"")</f>
        <v/>
      </c>
    </row>
    <row r="115" ht="20.25" customHeight="1" spans="1:9">
      <c r="A115" s="3"/>
      <c r="G115" s="5" t="str">
        <f t="shared" si="1"/>
        <v/>
      </c>
      <c r="I115" s="5" t="str">
        <f>IFERROR(IF(H115="ND","ND",baoliuxiaoshuwei(((H115-基础页!$B$23)*基础页!$B$16)/C115*5,2)),"")</f>
        <v/>
      </c>
    </row>
    <row r="116" ht="20.25" customHeight="1" spans="1:9">
      <c r="A116" s="3"/>
      <c r="G116" s="5" t="str">
        <f t="shared" si="1"/>
        <v/>
      </c>
      <c r="I116" s="5" t="str">
        <f>IFERROR(IF(H116="ND","ND",baoliuxiaoshuwei(((H116-基础页!$B$23)*基础页!$B$16)/C116*5,2)),"")</f>
        <v/>
      </c>
    </row>
    <row r="117" ht="20.25" customHeight="1" spans="1:9">
      <c r="A117" s="3"/>
      <c r="G117" s="5" t="str">
        <f t="shared" si="1"/>
        <v/>
      </c>
      <c r="I117" s="5" t="str">
        <f>IFERROR(IF(H117="ND","ND",baoliuxiaoshuwei(((H117-基础页!$B$23)*基础页!$B$16)/C117*5,2)),"")</f>
        <v/>
      </c>
    </row>
    <row r="118" ht="20.25" customHeight="1" spans="1:9">
      <c r="A118" s="3"/>
      <c r="G118" s="5" t="str">
        <f t="shared" si="1"/>
        <v/>
      </c>
      <c r="I118" s="5" t="str">
        <f>IFERROR(IF(H118="ND","ND",baoliuxiaoshuwei(((H118-基础页!$B$23)*基础页!$B$16)/C118*5,2)),"")</f>
        <v/>
      </c>
    </row>
    <row r="119" ht="20.25" customHeight="1" spans="1:9">
      <c r="A119" s="3"/>
      <c r="G119" s="5" t="str">
        <f t="shared" si="1"/>
        <v/>
      </c>
      <c r="I119" s="5" t="str">
        <f>IFERROR(IF(H119="ND","ND",baoliuxiaoshuwei(((H119-基础页!$B$23)*基础页!$B$16)/C119*5,2)),"")</f>
        <v/>
      </c>
    </row>
    <row r="120" ht="20.25" customHeight="1" spans="1:9">
      <c r="A120" s="3"/>
      <c r="G120" s="5" t="str">
        <f t="shared" si="1"/>
        <v/>
      </c>
      <c r="I120" s="5" t="str">
        <f>IFERROR(IF(H120="ND","ND",baoliuxiaoshuwei(((H120-基础页!$B$23)*基础页!$B$16)/C120*5,2)),"")</f>
        <v/>
      </c>
    </row>
    <row r="121" ht="20.25" customHeight="1" spans="1:9">
      <c r="A121" s="3"/>
      <c r="G121" s="5" t="str">
        <f t="shared" si="1"/>
        <v/>
      </c>
      <c r="I121" s="5" t="str">
        <f>IFERROR(IF(H121="ND","ND",baoliuxiaoshuwei(((H121-基础页!$B$23)*基础页!$B$16)/C121*5,2)),"")</f>
        <v/>
      </c>
    </row>
    <row r="122" ht="20.25" customHeight="1" spans="1:9">
      <c r="A122" s="3"/>
      <c r="G122" s="5" t="str">
        <f t="shared" si="1"/>
        <v/>
      </c>
      <c r="I122" s="5" t="str">
        <f>IFERROR(IF(H122="ND","ND",baoliuxiaoshuwei(((H122-基础页!$B$23)*基础页!$B$16)/C122*5,2)),"")</f>
        <v/>
      </c>
    </row>
    <row r="123" ht="20.25" customHeight="1" spans="1:9">
      <c r="A123" s="3"/>
      <c r="G123" s="5" t="str">
        <f t="shared" si="1"/>
        <v/>
      </c>
      <c r="I123" s="5" t="str">
        <f>IFERROR(IF(H123="ND","ND",baoliuxiaoshuwei(((H123-基础页!$B$23)*基础页!$B$16)/C123*5,2)),"")</f>
        <v/>
      </c>
    </row>
    <row r="124" ht="20.25" customHeight="1" spans="7:9">
      <c r="G124" s="5" t="str">
        <f t="shared" si="1"/>
        <v/>
      </c>
      <c r="I124" s="5" t="str">
        <f>IFERROR(IF(H124="ND","ND",baoliuxiaoshuwei(((H124-基础页!$B$23)*基础页!$B$16)/C124*5,2)),"")</f>
        <v/>
      </c>
    </row>
    <row r="125" ht="20.25" customHeight="1" spans="7:9">
      <c r="G125" s="5" t="str">
        <f t="shared" si="1"/>
        <v/>
      </c>
      <c r="I125" s="5" t="str">
        <f>IFERROR(IF(H125="ND","ND",baoliuxiaoshuwei(((H125-基础页!$B$23)*基础页!$B$16)/C125*5,2)),"")</f>
        <v/>
      </c>
    </row>
    <row r="126" ht="20.25" customHeight="1" spans="7:9">
      <c r="G126" s="5" t="str">
        <f t="shared" si="1"/>
        <v/>
      </c>
      <c r="I126" s="5" t="str">
        <f>IFERROR(IF(H126="ND","ND",baoliuxiaoshuwei(((H126-基础页!$B$23)*基础页!$B$16)/C126*5,2)),"")</f>
        <v/>
      </c>
    </row>
    <row r="127" ht="20.25" customHeight="1" spans="7:9">
      <c r="G127" s="5" t="str">
        <f t="shared" si="1"/>
        <v/>
      </c>
      <c r="I127" s="5" t="str">
        <f>IFERROR(IF(H127="ND","ND",baoliuxiaoshuwei(((H127-基础页!$B$23)*基础页!$B$16)/C127*5,2)),"")</f>
        <v/>
      </c>
    </row>
    <row r="128" ht="20.25" customHeight="1" spans="7:9">
      <c r="G128" s="5" t="str">
        <f t="shared" si="1"/>
        <v/>
      </c>
      <c r="I128" s="5" t="str">
        <f>IFERROR(IF(H128="ND","ND",baoliuxiaoshuwei(((H128-基础页!$B$23)*基础页!$B$16)/C128*5,2)),"")</f>
        <v/>
      </c>
    </row>
    <row r="129" ht="20.25" customHeight="1" spans="7:9">
      <c r="G129" s="5" t="str">
        <f t="shared" si="1"/>
        <v/>
      </c>
      <c r="I129" s="5" t="str">
        <f>IFERROR(IF(H129="ND","ND",baoliuxiaoshuwei(((H129-基础页!$B$23)*基础页!$B$16)/C129*5,2)),"")</f>
        <v/>
      </c>
    </row>
    <row r="130" ht="20.25" customHeight="1"/>
    <row r="131" ht="20.25" customHeight="1"/>
    <row r="132" ht="20.25" customHeight="1"/>
    <row r="133" ht="20.25" customHeight="1"/>
    <row r="134" ht="20.25" customHeight="1"/>
    <row r="135" ht="20.25" customHeight="1"/>
    <row r="136" ht="20.25" customHeight="1"/>
    <row r="137" ht="20.25" customHeight="1"/>
    <row r="138" ht="20.25" customHeight="1"/>
    <row r="139" ht="20.25" customHeight="1"/>
    <row r="140" ht="20.25" customHeight="1"/>
    <row r="141" ht="20.25" customHeight="1"/>
    <row r="142" ht="20.25" customHeight="1"/>
    <row r="143" ht="20.25" customHeight="1"/>
    <row r="144" ht="20.25" customHeight="1"/>
    <row r="145" ht="20.25" customHeight="1"/>
    <row r="146" ht="20.25" customHeight="1"/>
    <row r="147" ht="20.25" customHeight="1"/>
    <row r="148" ht="20.25" customHeight="1"/>
    <row r="149" ht="20.25" customHeight="1"/>
    <row r="150" ht="20.25" customHeight="1"/>
    <row r="151" ht="20.25" customHeight="1"/>
    <row r="152" ht="20.25" customHeight="1"/>
    <row r="153" ht="20.25" customHeight="1"/>
    <row r="154" ht="20.25" customHeight="1"/>
    <row r="155" ht="20.25" customHeight="1"/>
    <row r="156" ht="20.25" customHeight="1"/>
    <row r="157" ht="20.25" customHeight="1"/>
    <row r="158" ht="20.25" customHeight="1"/>
    <row r="159" ht="20.25" customHeight="1"/>
    <row r="160" ht="20.25" customHeight="1"/>
    <row r="161" ht="20.25" customHeight="1"/>
    <row r="162" ht="20.25" customHeight="1"/>
    <row r="163" ht="20.25" customHeight="1"/>
    <row r="164" ht="20.25" customHeight="1"/>
    <row r="165" ht="20.25" customHeight="1"/>
    <row r="166" ht="20.25" customHeight="1"/>
    <row r="167" ht="20.25" customHeight="1"/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