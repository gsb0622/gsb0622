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workbookProtection workbookPassword="E9CD" lockStructure="1"/>
  <bookViews>
    <workbookView windowWidth="22943" windowHeight="10308"/>
  </bookViews>
  <sheets>
    <sheet name="基础页" sheetId="5" r:id="rId1"/>
    <sheet name="分析记录" sheetId="10" r:id="rId2"/>
  </sheets>
  <calcPr calcId="144525"/>
</workbook>
</file>

<file path=xl/sharedStrings.xml><?xml version="1.0" encoding="utf-8"?>
<sst xmlns="http://schemas.openxmlformats.org/spreadsheetml/2006/main" count="69">
  <si>
    <r>
      <rPr>
        <b/>
        <sz val="11"/>
        <color theme="0"/>
        <rFont val="宋体"/>
        <charset val="134"/>
      </rPr>
      <t>基本信息</t>
    </r>
  </si>
  <si>
    <t xml:space="preserve"> </t>
  </si>
  <si>
    <r>
      <rPr>
        <sz val="11"/>
        <color theme="0" tint="-0.0499893185216834"/>
        <rFont val="宋体"/>
        <charset val="134"/>
      </rPr>
      <t>超高效液相色谱仪</t>
    </r>
    <r>
      <rPr>
        <sz val="11"/>
        <color theme="0" tint="-0.0499893185216834"/>
        <rFont val="Times New Roman"/>
        <charset val="134"/>
      </rPr>
      <t>AS274</t>
    </r>
  </si>
  <si>
    <t>Waters H-Class</t>
  </si>
  <si>
    <t>模板编号</t>
  </si>
  <si>
    <t>科学</t>
  </si>
  <si>
    <t>严谨</t>
  </si>
  <si>
    <r>
      <rPr>
        <sz val="11"/>
        <color theme="0" tint="-0.0499893185216834"/>
        <rFont val="宋体"/>
        <charset val="134"/>
      </rPr>
      <t>快速液相色谱仪</t>
    </r>
    <r>
      <rPr>
        <sz val="11"/>
        <color theme="0" tint="-0.0499893185216834"/>
        <rFont val="Times New Roman"/>
        <charset val="134"/>
      </rPr>
      <t>AS381</t>
    </r>
  </si>
  <si>
    <t>LC-20A</t>
  </si>
  <si>
    <t>任务号</t>
  </si>
  <si>
    <t>检测项目汇总</t>
  </si>
  <si>
    <t>检测日期</t>
  </si>
  <si>
    <t>安全</t>
  </si>
  <si>
    <t>高效</t>
  </si>
  <si>
    <t>样品类别</t>
  </si>
  <si>
    <t>检测地点</t>
  </si>
  <si>
    <t>检测方法</t>
  </si>
  <si>
    <t>温度(℃)</t>
  </si>
  <si>
    <t>湿度(%)</t>
  </si>
  <si>
    <t>检出限</t>
  </si>
  <si>
    <r>
      <rPr>
        <b/>
        <sz val="11"/>
        <color theme="1"/>
        <rFont val="宋体"/>
        <charset val="134"/>
      </rPr>
      <t>说明：</t>
    </r>
  </si>
  <si>
    <t>定量限</t>
  </si>
  <si>
    <r>
      <rPr>
        <sz val="11"/>
        <color rgb="FFFF0000"/>
        <rFont val="宋体"/>
        <charset val="134"/>
      </rPr>
      <t>为需填写内容</t>
    </r>
  </si>
  <si>
    <t>仪器名称及编号</t>
  </si>
  <si>
    <r>
      <rPr>
        <sz val="11"/>
        <color rgb="FFFF0000"/>
        <rFont val="宋体"/>
        <charset val="134"/>
      </rPr>
      <t>为不需要填写</t>
    </r>
  </si>
  <si>
    <t>仪器型号</t>
  </si>
  <si>
    <r>
      <rPr>
        <sz val="11"/>
        <color rgb="FFFF0000"/>
        <rFont val="宋体"/>
        <charset val="134"/>
      </rPr>
      <t>为质控模块</t>
    </r>
  </si>
  <si>
    <t>天平编号</t>
  </si>
  <si>
    <r>
      <rPr>
        <sz val="11"/>
        <color theme="1"/>
        <rFont val="宋体"/>
        <charset val="134"/>
      </rPr>
      <t>定容体积V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(mL)</t>
    </r>
  </si>
  <si>
    <t>色谱条件</t>
  </si>
  <si>
    <t>色谱柱</t>
  </si>
  <si>
    <t>柱温(℃)</t>
  </si>
  <si>
    <t>流动相</t>
  </si>
  <si>
    <t>洗脱程序</t>
  </si>
  <si>
    <t>流速(mL/min)</t>
  </si>
  <si>
    <r>
      <rPr>
        <sz val="11"/>
        <color theme="1"/>
        <rFont val="宋体"/>
        <charset val="134"/>
      </rPr>
      <t>进样体积(</t>
    </r>
    <r>
      <rPr>
        <sz val="11"/>
        <color theme="1"/>
        <rFont val="Calibri"/>
        <charset val="134"/>
      </rPr>
      <t>μ</t>
    </r>
    <r>
      <rPr>
        <sz val="11"/>
        <color theme="1"/>
        <rFont val="宋体"/>
        <charset val="134"/>
      </rPr>
      <t>L)</t>
    </r>
  </si>
  <si>
    <t>检测波长(nm)</t>
  </si>
  <si>
    <t>标准溶液</t>
  </si>
  <si>
    <t>标准工作溶液浓度(  )</t>
  </si>
  <si>
    <t>标准工作液编号</t>
  </si>
  <si>
    <t>标准工作液有效期</t>
  </si>
  <si>
    <r>
      <rPr>
        <sz val="11"/>
        <color theme="1"/>
        <rFont val="宋体"/>
        <charset val="134"/>
      </rPr>
      <t>试剂空白C</t>
    </r>
    <r>
      <rPr>
        <vertAlign val="subscript"/>
        <sz val="11"/>
        <color theme="1"/>
        <rFont val="宋体"/>
        <charset val="134"/>
      </rPr>
      <t>0</t>
    </r>
  </si>
  <si>
    <t>计算公式</t>
  </si>
  <si>
    <r>
      <rPr>
        <sz val="11"/>
        <color theme="1"/>
        <rFont val="宋体"/>
        <charset val="134"/>
      </rPr>
      <t>X=(C</t>
    </r>
    <r>
      <rPr>
        <vertAlign val="subscript"/>
        <sz val="11"/>
        <color theme="1"/>
        <rFont val="宋体"/>
        <charset val="134"/>
      </rPr>
      <t>S</t>
    </r>
    <r>
      <rPr>
        <sz val="11"/>
        <color theme="1"/>
        <rFont val="宋体"/>
        <charset val="134"/>
      </rPr>
      <t>-C</t>
    </r>
    <r>
      <rPr>
        <vertAlign val="subscript"/>
        <sz val="11"/>
        <color theme="1"/>
        <rFont val="宋体"/>
        <charset val="134"/>
      </rPr>
      <t>O</t>
    </r>
    <r>
      <rPr>
        <sz val="11"/>
        <color theme="1"/>
        <rFont val="宋体"/>
        <charset val="134"/>
      </rPr>
      <t>)×V</t>
    </r>
    <r>
      <rPr>
        <vertAlign val="subscript"/>
        <sz val="11"/>
        <color theme="1"/>
        <rFont val="宋体"/>
        <charset val="134"/>
      </rPr>
      <t>1</t>
    </r>
    <r>
      <rPr>
        <sz val="11"/>
        <color theme="1"/>
        <rFont val="宋体"/>
        <charset val="134"/>
      </rPr>
      <t>÷m</t>
    </r>
  </si>
  <si>
    <t>签名</t>
  </si>
  <si>
    <t>检测人</t>
  </si>
  <si>
    <t>校核人</t>
  </si>
  <si>
    <t>审核人</t>
  </si>
  <si>
    <t>检测信息</t>
  </si>
  <si>
    <t>序号</t>
  </si>
  <si>
    <t>样品编号</t>
  </si>
  <si>
    <t>分析日期</t>
  </si>
  <si>
    <t>检测项目</t>
  </si>
  <si>
    <t>取样量
m(g)</t>
  </si>
  <si>
    <t>定性判定</t>
  </si>
  <si>
    <t>定量结果</t>
  </si>
  <si>
    <t>质控</t>
  </si>
  <si>
    <t>备注</t>
  </si>
  <si>
    <t>保留时间（min）</t>
  </si>
  <si>
    <t>是否阳性</t>
  </si>
  <si>
    <t>样液测定结果
Cs（   ）</t>
  </si>
  <si>
    <t>样品残留量
X（   ）</t>
  </si>
  <si>
    <t>标样
推荐值/加标浓度</t>
  </si>
  <si>
    <r>
      <rPr>
        <sz val="11"/>
        <color theme="1"/>
        <rFont val="宋体"/>
        <charset val="134"/>
      </rPr>
      <t>加标体积</t>
    </r>
    <r>
      <rPr>
        <sz val="11"/>
        <color theme="1"/>
        <rFont val="Times New Roman"/>
        <charset val="134"/>
      </rPr>
      <t xml:space="preserve">
(μL)</t>
    </r>
  </si>
  <si>
    <t>允许值</t>
  </si>
  <si>
    <r>
      <rPr>
        <sz val="11"/>
        <rFont val="宋体"/>
        <charset val="134"/>
      </rPr>
      <t>相对偏差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相对误差</t>
    </r>
    <r>
      <rPr>
        <sz val="11"/>
        <rFont val="Times New Roman"/>
        <charset val="134"/>
      </rPr>
      <t xml:space="preserve">
</t>
    </r>
    <r>
      <rPr>
        <sz val="11"/>
        <rFont val="宋体"/>
        <charset val="134"/>
      </rPr>
      <t>回收率</t>
    </r>
  </si>
  <si>
    <t>结果</t>
  </si>
  <si>
    <t>样品</t>
  </si>
  <si>
    <t>标液</t>
  </si>
</sst>
</file>

<file path=xl/styles.xml><?xml version="1.0" encoding="utf-8"?>
<styleSheet xmlns="http://schemas.openxmlformats.org/spreadsheetml/2006/main">
  <numFmts count="6">
    <numFmt numFmtId="176" formatCode="0.0_ "/>
    <numFmt numFmtId="177" formatCode="0.0_ ;[Red]\-0.0\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38">
    <font>
      <sz val="11"/>
      <color theme="1"/>
      <name val="宋体"/>
      <charset val="134"/>
      <scheme val="minor"/>
    </font>
    <font>
      <sz val="11"/>
      <color theme="1"/>
      <name val="Times New Roman"/>
      <charset val="134"/>
    </font>
    <font>
      <b/>
      <sz val="11"/>
      <color theme="0"/>
      <name val="Times New Roman"/>
      <charset val="134"/>
    </font>
    <font>
      <sz val="11"/>
      <name val="宋体"/>
      <charset val="134"/>
    </font>
    <font>
      <sz val="11"/>
      <name val="Times New Roman"/>
      <charset val="134"/>
    </font>
    <font>
      <sz val="11"/>
      <color theme="1"/>
      <name val="宋体"/>
      <charset val="134"/>
    </font>
    <font>
      <sz val="36"/>
      <color theme="0"/>
      <name val="华文行楷"/>
      <charset val="134"/>
    </font>
    <font>
      <sz val="48"/>
      <color theme="0"/>
      <name val="华文行楷"/>
      <charset val="134"/>
    </font>
    <font>
      <sz val="11"/>
      <color rgb="FFFF0000"/>
      <name val="Times New Roman"/>
      <charset val="134"/>
    </font>
    <font>
      <b/>
      <sz val="11"/>
      <color theme="0"/>
      <name val="宋体"/>
      <charset val="134"/>
    </font>
    <font>
      <sz val="36"/>
      <color theme="1"/>
      <name val="华文行楷"/>
      <charset val="134"/>
    </font>
    <font>
      <b/>
      <sz val="11"/>
      <color theme="1"/>
      <name val="Times New Roman"/>
      <charset val="134"/>
    </font>
    <font>
      <sz val="11"/>
      <color theme="0" tint="-0.0499893185216834"/>
      <name val="Times New Roman"/>
      <charset val="134"/>
    </font>
    <font>
      <sz val="11"/>
      <color theme="0" tint="-0.0499893185216834"/>
      <name val="宋体"/>
      <charset val="134"/>
    </font>
    <font>
      <sz val="11"/>
      <color rgb="FFFF0000"/>
      <name val="宋体"/>
      <charset val="134"/>
    </font>
    <font>
      <sz val="11"/>
      <color theme="1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5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0"/>
      <name val="Arial"/>
      <charset val="134"/>
    </font>
    <font>
      <b/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134"/>
    </font>
    <font>
      <vertAlign val="subscript"/>
      <sz val="11"/>
      <color theme="1"/>
      <name val="宋体"/>
      <charset val="134"/>
    </font>
    <font>
      <sz val="11"/>
      <color theme="1"/>
      <name val="Calibri"/>
      <charset val="134"/>
    </font>
  </fonts>
  <fills count="40">
    <fill>
      <patternFill patternType="none"/>
    </fill>
    <fill>
      <patternFill patternType="gray125"/>
    </fill>
    <fill>
      <patternFill patternType="solid">
        <fgColor rgb="FFF5F6F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FCF7"/>
        <bgColor indexed="64"/>
      </patternFill>
    </fill>
    <fill>
      <patternFill patternType="solid">
        <fgColor theme="9" tint="0.799890133365886"/>
        <bgColor indexed="64"/>
      </patternFill>
    </fill>
    <fill>
      <patternFill patternType="solid">
        <fgColor rgb="FF689CDA"/>
        <bgColor indexed="64"/>
      </patternFill>
    </fill>
    <fill>
      <patternFill patternType="solid">
        <fgColor rgb="FFF2F3F8"/>
        <bgColor indexed="64"/>
      </patternFill>
    </fill>
    <fill>
      <patternFill patternType="solid">
        <fgColor theme="3" tint="0.399884029663991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 tint="0.399975585192419"/>
        <bgColor indexed="64"/>
      </patternFill>
    </fill>
  </fills>
  <borders count="2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20" fillId="21" borderId="1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6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26" borderId="0" applyNumberFormat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0" fillId="20" borderId="16" applyNumberFormat="0" applyFont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32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9" fillId="0" borderId="15" applyNumberFormat="0" applyFill="0" applyAlignment="0" applyProtection="0">
      <alignment vertical="center"/>
    </xf>
    <xf numFmtId="0" fontId="31" fillId="0" borderId="15" applyNumberFormat="0" applyFill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23" fillId="0" borderId="18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0" fillId="13" borderId="20" applyNumberFormat="0" applyAlignment="0" applyProtection="0">
      <alignment vertical="center"/>
    </xf>
    <xf numFmtId="0" fontId="18" fillId="13" borderId="14" applyNumberFormat="0" applyAlignment="0" applyProtection="0">
      <alignment vertical="center"/>
    </xf>
    <xf numFmtId="0" fontId="22" fillId="25" borderId="17" applyNumberFormat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7" fillId="31" borderId="0" applyNumberFormat="0" applyBorder="0" applyAlignment="0" applyProtection="0">
      <alignment vertical="center"/>
    </xf>
    <xf numFmtId="0" fontId="34" fillId="0" borderId="21" applyNumberFormat="0" applyFill="0" applyAlignment="0" applyProtection="0">
      <alignment vertical="center"/>
    </xf>
    <xf numFmtId="0" fontId="29" fillId="0" borderId="19" applyNumberFormat="0" applyFill="0" applyAlignment="0" applyProtection="0">
      <alignment vertical="center"/>
    </xf>
    <xf numFmtId="0" fontId="33" fillId="38" borderId="0" applyNumberFormat="0" applyBorder="0" applyAlignment="0" applyProtection="0">
      <alignment vertical="center"/>
    </xf>
    <xf numFmtId="0" fontId="21" fillId="23" borderId="0" applyNumberFormat="0" applyBorder="0" applyAlignment="0" applyProtection="0">
      <alignment vertical="center"/>
    </xf>
    <xf numFmtId="0" fontId="15" fillId="12" borderId="0" applyNumberFormat="0" applyBorder="0" applyAlignment="0" applyProtection="0">
      <alignment vertical="center"/>
    </xf>
    <xf numFmtId="0" fontId="17" fillId="11" borderId="0" applyNumberFormat="0" applyBorder="0" applyAlignment="0" applyProtection="0">
      <alignment vertical="center"/>
    </xf>
    <xf numFmtId="0" fontId="15" fillId="29" borderId="0" applyNumberFormat="0" applyBorder="0" applyAlignment="0" applyProtection="0">
      <alignment vertical="center"/>
    </xf>
    <xf numFmtId="0" fontId="15" fillId="34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28" borderId="0" applyNumberFormat="0" applyBorder="0" applyAlignment="0" applyProtection="0">
      <alignment vertical="center"/>
    </xf>
    <xf numFmtId="0" fontId="17" fillId="18" borderId="0" applyNumberFormat="0" applyBorder="0" applyAlignment="0" applyProtection="0">
      <alignment vertical="center"/>
    </xf>
    <xf numFmtId="0" fontId="17" fillId="33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15" fillId="37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8" fillId="0" borderId="0"/>
  </cellStyleXfs>
  <cellXfs count="112">
    <xf numFmtId="0" fontId="0" fillId="0" borderId="0" xfId="0"/>
    <xf numFmtId="49" fontId="1" fillId="2" borderId="0" xfId="0" applyNumberFormat="1" applyFont="1" applyFill="1" applyBorder="1" applyAlignment="1" applyProtection="1">
      <alignment vertical="center"/>
    </xf>
    <xf numFmtId="49" fontId="1" fillId="2" borderId="0" xfId="0" applyNumberFormat="1" applyFont="1" applyFill="1" applyBorder="1" applyProtection="1"/>
    <xf numFmtId="49" fontId="1" fillId="3" borderId="1" xfId="0" applyNumberFormat="1" applyFont="1" applyFill="1" applyBorder="1" applyAlignment="1" applyProtection="1">
      <alignment horizontal="center" vertical="center"/>
      <protection locked="0"/>
    </xf>
    <xf numFmtId="49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5" borderId="1" xfId="0" applyNumberFormat="1" applyFont="1" applyFill="1" applyBorder="1" applyAlignment="1" applyProtection="1">
      <alignment horizontal="center" vertical="center"/>
      <protection locked="0"/>
    </xf>
    <xf numFmtId="49" fontId="2" fillId="6" borderId="2" xfId="49" applyNumberFormat="1" applyFont="1" applyFill="1" applyBorder="1" applyAlignment="1" applyProtection="1">
      <alignment horizontal="left" vertical="center"/>
      <protection locked="0"/>
    </xf>
    <xf numFmtId="49" fontId="2" fillId="6" borderId="0" xfId="49" applyNumberFormat="1" applyFont="1" applyFill="1" applyBorder="1" applyAlignment="1" applyProtection="1">
      <alignment horizontal="left" vertical="center"/>
      <protection locked="0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/>
      <protection locked="0"/>
    </xf>
    <xf numFmtId="49" fontId="3" fillId="7" borderId="3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4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5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49" fontId="4" fillId="7" borderId="1" xfId="0" applyNumberFormat="1" applyFont="1" applyFill="1" applyBorder="1" applyAlignment="1" applyProtection="1">
      <alignment horizontal="center" vertical="center"/>
      <protection locked="0"/>
    </xf>
    <xf numFmtId="49" fontId="4" fillId="7" borderId="3" xfId="0" applyNumberFormat="1" applyFont="1" applyFill="1" applyBorder="1" applyAlignment="1" applyProtection="1">
      <alignment horizontal="center" vertical="center"/>
      <protection locked="0"/>
    </xf>
    <xf numFmtId="0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7" xfId="0" applyNumberFormat="1" applyFont="1" applyFill="1" applyBorder="1" applyAlignment="1" applyProtection="1">
      <alignment horizontal="center" vertical="center"/>
      <protection locked="0"/>
    </xf>
    <xf numFmtId="49" fontId="4" fillId="7" borderId="7" xfId="0" applyNumberFormat="1" applyFont="1" applyFill="1" applyBorder="1" applyAlignment="1" applyProtection="1">
      <alignment horizontal="center" vertical="center"/>
      <protection locked="0"/>
    </xf>
    <xf numFmtId="4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1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4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5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6" xfId="0" applyNumberFormat="1" applyFont="1" applyFill="1" applyBorder="1" applyAlignment="1" applyProtection="1">
      <alignment horizontal="center" vertical="center" wrapText="1"/>
      <protection locked="0"/>
    </xf>
    <xf numFmtId="49" fontId="3" fillId="7" borderId="8" xfId="0" applyNumberFormat="1" applyFont="1" applyFill="1" applyBorder="1" applyAlignment="1" applyProtection="1">
      <alignment horizontal="center" vertical="center" wrapText="1"/>
      <protection locked="0"/>
    </xf>
    <xf numFmtId="0" fontId="3" fillId="5" borderId="8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8" xfId="0" applyFont="1" applyFill="1" applyBorder="1" applyAlignment="1" applyProtection="1">
      <alignment horizontal="center" vertical="center" wrapText="1"/>
      <protection locked="0"/>
    </xf>
    <xf numFmtId="0" fontId="3" fillId="5" borderId="8" xfId="0" applyNumberFormat="1" applyFont="1" applyFill="1" applyBorder="1" applyAlignment="1" applyProtection="1">
      <alignment horizontal="center" vertical="center"/>
      <protection locked="0"/>
    </xf>
    <xf numFmtId="0" fontId="3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1" fillId="5" borderId="7" xfId="0" applyFont="1" applyFill="1" applyBorder="1" applyAlignment="1" applyProtection="1">
      <alignment horizontal="center" vertical="center" wrapText="1"/>
      <protection locked="0"/>
    </xf>
    <xf numFmtId="0" fontId="4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4" fillId="5" borderId="7" xfId="0" applyNumberFormat="1" applyFont="1" applyFill="1" applyBorder="1" applyAlignment="1" applyProtection="1">
      <alignment horizontal="center" vertical="center"/>
      <protection locked="0"/>
    </xf>
    <xf numFmtId="49" fontId="1" fillId="2" borderId="0" xfId="0" applyNumberFormat="1" applyFont="1" applyFill="1" applyBorder="1" applyAlignment="1" applyProtection="1">
      <alignment horizontal="left" vertical="top"/>
    </xf>
    <xf numFmtId="49" fontId="1" fillId="2" borderId="0" xfId="0" applyNumberFormat="1" applyFont="1" applyFill="1" applyBorder="1" applyAlignment="1" applyProtection="1">
      <alignment horizontal="center"/>
    </xf>
    <xf numFmtId="49" fontId="2" fillId="6" borderId="1" xfId="0" applyNumberFormat="1" applyFont="1" applyFill="1" applyBorder="1" applyAlignment="1" applyProtection="1">
      <alignment horizontal="left" vertical="center"/>
      <protection locked="0"/>
    </xf>
    <xf numFmtId="0" fontId="2" fillId="8" borderId="0" xfId="0" applyNumberFormat="1" applyFont="1" applyFill="1" applyBorder="1" applyAlignment="1" applyProtection="1">
      <alignment horizontal="left" vertical="center"/>
      <protection locked="0"/>
    </xf>
    <xf numFmtId="49" fontId="1" fillId="8" borderId="0" xfId="0" applyNumberFormat="1" applyFont="1" applyFill="1" applyBorder="1" applyProtection="1"/>
    <xf numFmtId="49" fontId="5" fillId="2" borderId="1" xfId="0" applyNumberFormat="1" applyFont="1" applyFill="1" applyBorder="1" applyAlignment="1" applyProtection="1">
      <alignment horizontal="center" vertical="center"/>
      <protection locked="0"/>
    </xf>
    <xf numFmtId="49" fontId="1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3" borderId="6" xfId="0" applyNumberFormat="1" applyFont="1" applyFill="1" applyBorder="1" applyAlignment="1" applyProtection="1">
      <alignment horizontal="center" vertical="center" wrapText="1"/>
      <protection locked="0"/>
    </xf>
    <xf numFmtId="0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Alignment="1" applyProtection="1">
      <alignment horizontal="center"/>
    </xf>
    <xf numFmtId="49" fontId="1" fillId="3" borderId="4" xfId="0" applyNumberFormat="1" applyFont="1" applyFill="1" applyBorder="1" applyAlignment="1" applyProtection="1">
      <alignment horizontal="center" vertical="center"/>
      <protection locked="0"/>
    </xf>
    <xf numFmtId="49" fontId="1" fillId="3" borderId="5" xfId="0" applyNumberFormat="1" applyFont="1" applyFill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center" vertical="center"/>
      <protection locked="0"/>
    </xf>
    <xf numFmtId="49" fontId="6" fillId="8" borderId="0" xfId="0" applyNumberFormat="1" applyFont="1" applyFill="1" applyBorder="1" applyProtection="1"/>
    <xf numFmtId="49" fontId="5" fillId="3" borderId="4" xfId="0" applyNumberFormat="1" applyFont="1" applyFill="1" applyBorder="1" applyAlignment="1" applyProtection="1">
      <alignment horizontal="center" vertical="center"/>
      <protection locked="0"/>
    </xf>
    <xf numFmtId="49" fontId="5" fillId="3" borderId="5" xfId="0" applyNumberFormat="1" applyFont="1" applyFill="1" applyBorder="1" applyAlignment="1" applyProtection="1">
      <alignment horizontal="center" vertical="center"/>
      <protection locked="0"/>
    </xf>
    <xf numFmtId="49" fontId="5" fillId="3" borderId="6" xfId="0" applyNumberFormat="1" applyFont="1" applyFill="1" applyBorder="1" applyAlignment="1" applyProtection="1">
      <alignment horizontal="center" vertical="center"/>
      <protection locked="0"/>
    </xf>
    <xf numFmtId="177" fontId="1" fillId="8" borderId="0" xfId="0" applyNumberFormat="1" applyFont="1" applyFill="1" applyBorder="1" applyAlignment="1" applyProtection="1">
      <alignment horizontal="center" vertical="center"/>
      <protection locked="0"/>
    </xf>
    <xf numFmtId="49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5" xfId="0" applyNumberFormat="1" applyFont="1" applyFill="1" applyBorder="1" applyAlignment="1" applyProtection="1">
      <alignment horizontal="center" vertical="center"/>
      <protection locked="0"/>
    </xf>
    <xf numFmtId="49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7" fillId="8" borderId="0" xfId="0" applyNumberFormat="1" applyFont="1" applyFill="1" applyBorder="1" applyAlignment="1" applyProtection="1">
      <alignment horizontal="center"/>
    </xf>
    <xf numFmtId="176" fontId="5" fillId="4" borderId="1" xfId="0" applyNumberFormat="1" applyFont="1" applyFill="1" applyBorder="1" applyAlignment="1" applyProtection="1">
      <alignment horizontal="left" vertical="center"/>
      <protection locked="0"/>
    </xf>
    <xf numFmtId="176" fontId="5" fillId="4" borderId="5" xfId="0" applyNumberFormat="1" applyFont="1" applyFill="1" applyBorder="1" applyAlignment="1" applyProtection="1">
      <alignment horizontal="right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49" fontId="1" fillId="4" borderId="5" xfId="0" applyNumberFormat="1" applyFont="1" applyFill="1" applyBorder="1" applyAlignment="1" applyProtection="1">
      <alignment horizontal="center" vertical="center" wrapText="1"/>
      <protection locked="0"/>
    </xf>
    <xf numFmtId="49" fontId="1" fillId="4" borderId="6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4" xfId="0" applyNumberFormat="1" applyFont="1" applyFill="1" applyBorder="1" applyAlignment="1" applyProtection="1">
      <alignment horizontal="center" vertical="center" wrapText="1"/>
      <protection locked="0"/>
    </xf>
    <xf numFmtId="176" fontId="1" fillId="4" borderId="5" xfId="0" applyNumberFormat="1" applyFont="1" applyFill="1" applyBorder="1" applyAlignment="1" applyProtection="1">
      <alignment horizontal="center" vertical="center"/>
      <protection locked="0"/>
    </xf>
    <xf numFmtId="176" fontId="1" fillId="4" borderId="6" xfId="0" applyNumberFormat="1" applyFont="1" applyFill="1" applyBorder="1" applyAlignment="1" applyProtection="1">
      <alignment horizontal="center" vertical="center"/>
      <protection locked="0"/>
    </xf>
    <xf numFmtId="176" fontId="1" fillId="4" borderId="4" xfId="0" applyNumberFormat="1" applyFont="1" applyFill="1" applyBorder="1" applyAlignment="1" applyProtection="1">
      <alignment horizontal="center" vertical="center"/>
      <protection locked="0"/>
    </xf>
    <xf numFmtId="0" fontId="8" fillId="2" borderId="0" xfId="0" applyFont="1" applyFill="1" applyBorder="1" applyAlignment="1" applyProtection="1">
      <alignment horizontal="center" vertical="center"/>
      <protection locked="0"/>
    </xf>
    <xf numFmtId="49" fontId="8" fillId="2" borderId="0" xfId="0" applyNumberFormat="1" applyFont="1" applyFill="1" applyBorder="1" applyProtection="1"/>
    <xf numFmtId="176" fontId="5" fillId="4" borderId="5" xfId="0" applyNumberFormat="1" applyFont="1" applyFill="1" applyBorder="1" applyAlignment="1" applyProtection="1">
      <alignment horizontal="center" vertical="center" wrapText="1"/>
      <protection locked="0"/>
    </xf>
    <xf numFmtId="176" fontId="5" fillId="4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4" xfId="0" applyNumberFormat="1" applyFont="1" applyFill="1" applyBorder="1" applyAlignment="1" applyProtection="1">
      <alignment horizontal="center" vertical="center"/>
      <protection locked="0"/>
    </xf>
    <xf numFmtId="0" fontId="1" fillId="4" borderId="5" xfId="0" applyNumberFormat="1" applyFont="1" applyFill="1" applyBorder="1" applyAlignment="1" applyProtection="1">
      <alignment horizontal="center" vertical="center"/>
      <protection locked="0"/>
    </xf>
    <xf numFmtId="0" fontId="1" fillId="4" borderId="6" xfId="0" applyNumberFormat="1" applyFont="1" applyFill="1" applyBorder="1" applyAlignment="1" applyProtection="1">
      <alignment horizontal="center" vertical="center"/>
      <protection locked="0"/>
    </xf>
    <xf numFmtId="49" fontId="5" fillId="7" borderId="1" xfId="0" applyNumberFormat="1" applyFont="1" applyFill="1" applyBorder="1" applyAlignment="1">
      <alignment horizontal="center" vertical="center"/>
    </xf>
    <xf numFmtId="0" fontId="1" fillId="4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4" borderId="1" xfId="0" applyNumberFormat="1" applyFont="1" applyFill="1" applyBorder="1" applyAlignment="1" applyProtection="1">
      <alignment horizontal="left" vertical="center" wrapText="1"/>
      <protection locked="0"/>
    </xf>
    <xf numFmtId="0" fontId="8" fillId="2" borderId="0" xfId="0" applyFont="1" applyFill="1" applyBorder="1" applyAlignment="1" applyProtection="1">
      <alignment horizontal="left" vertical="top"/>
      <protection locked="0"/>
    </xf>
    <xf numFmtId="49" fontId="8" fillId="2" borderId="0" xfId="0" applyNumberFormat="1" applyFont="1" applyFill="1" applyBorder="1" applyAlignment="1" applyProtection="1">
      <alignment horizontal="left" vertical="top"/>
    </xf>
    <xf numFmtId="0" fontId="5" fillId="4" borderId="1" xfId="0" applyNumberFormat="1" applyFont="1" applyFill="1" applyBorder="1" applyAlignment="1" applyProtection="1">
      <alignment horizontal="center" vertical="center"/>
      <protection locked="0"/>
    </xf>
    <xf numFmtId="49" fontId="5" fillId="7" borderId="8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 wrapText="1"/>
    </xf>
    <xf numFmtId="49" fontId="5" fillId="4" borderId="1" xfId="0" applyNumberFormat="1" applyFont="1" applyFill="1" applyBorder="1" applyAlignment="1">
      <alignment horizontal="center" vertical="center"/>
    </xf>
    <xf numFmtId="49" fontId="5" fillId="7" borderId="7" xfId="0" applyNumberFormat="1" applyFont="1" applyFill="1" applyBorder="1" applyAlignment="1">
      <alignment horizontal="center" vertical="center" wrapText="1"/>
    </xf>
    <xf numFmtId="49" fontId="5" fillId="4" borderId="4" xfId="0" applyNumberFormat="1" applyFont="1" applyFill="1" applyBorder="1" applyAlignment="1">
      <alignment horizontal="center" vertical="center"/>
    </xf>
    <xf numFmtId="49" fontId="5" fillId="4" borderId="5" xfId="0" applyNumberFormat="1" applyFont="1" applyFill="1" applyBorder="1" applyAlignment="1">
      <alignment horizontal="center" vertical="center"/>
    </xf>
    <xf numFmtId="49" fontId="5" fillId="4" borderId="6" xfId="0" applyNumberFormat="1" applyFont="1" applyFill="1" applyBorder="1" applyAlignment="1">
      <alignment horizontal="center" vertical="center"/>
    </xf>
    <xf numFmtId="49" fontId="5" fillId="7" borderId="9" xfId="0" applyNumberFormat="1" applyFont="1" applyFill="1" applyBorder="1" applyAlignment="1">
      <alignment horizontal="center" vertical="center"/>
    </xf>
    <xf numFmtId="0" fontId="5" fillId="4" borderId="4" xfId="0" applyNumberFormat="1" applyFont="1" applyFill="1" applyBorder="1" applyAlignment="1">
      <alignment horizontal="center" vertical="center" wrapText="1"/>
    </xf>
    <xf numFmtId="0" fontId="5" fillId="4" borderId="5" xfId="0" applyNumberFormat="1" applyFont="1" applyFill="1" applyBorder="1" applyAlignment="1">
      <alignment horizontal="center" vertical="center" wrapText="1"/>
    </xf>
    <xf numFmtId="0" fontId="5" fillId="4" borderId="10" xfId="0" applyNumberFormat="1" applyFont="1" applyFill="1" applyBorder="1" applyAlignment="1">
      <alignment horizontal="right" vertical="center" wrapText="1"/>
    </xf>
    <xf numFmtId="49" fontId="5" fillId="4" borderId="4" xfId="0" applyNumberFormat="1" applyFont="1" applyFill="1" applyBorder="1" applyAlignment="1">
      <alignment horizontal="center" vertical="center" wrapText="1"/>
    </xf>
    <xf numFmtId="49" fontId="5" fillId="4" borderId="5" xfId="0" applyNumberFormat="1" applyFont="1" applyFill="1" applyBorder="1" applyAlignment="1">
      <alignment horizontal="center" vertical="center" wrapText="1"/>
    </xf>
    <xf numFmtId="49" fontId="5" fillId="4" borderId="6" xfId="0" applyNumberFormat="1" applyFont="1" applyFill="1" applyBorder="1" applyAlignment="1">
      <alignment horizontal="center" vertical="center" wrapText="1"/>
    </xf>
    <xf numFmtId="49" fontId="9" fillId="6" borderId="4" xfId="0" applyNumberFormat="1" applyFont="1" applyFill="1" applyBorder="1" applyAlignment="1" applyProtection="1">
      <alignment horizontal="left" vertical="center"/>
      <protection locked="0"/>
    </xf>
    <xf numFmtId="49" fontId="9" fillId="6" borderId="11" xfId="0" applyNumberFormat="1" applyFont="1" applyFill="1" applyBorder="1" applyAlignment="1" applyProtection="1">
      <alignment horizontal="left" vertical="center"/>
      <protection locked="0"/>
    </xf>
    <xf numFmtId="49" fontId="9" fillId="6" borderId="12" xfId="0" applyNumberFormat="1" applyFont="1" applyFill="1" applyBorder="1" applyAlignment="1" applyProtection="1">
      <alignment horizontal="left" vertical="center"/>
      <protection locked="0"/>
    </xf>
    <xf numFmtId="0" fontId="1" fillId="8" borderId="0" xfId="0" applyFont="1" applyFill="1" applyBorder="1" applyAlignment="1" applyProtection="1">
      <alignment horizontal="center" vertical="center"/>
      <protection locked="0"/>
    </xf>
    <xf numFmtId="49" fontId="10" fillId="8" borderId="0" xfId="0" applyNumberFormat="1" applyFont="1" applyFill="1" applyBorder="1" applyProtection="1"/>
    <xf numFmtId="49" fontId="7" fillId="8" borderId="0" xfId="0" applyNumberFormat="1" applyFont="1" applyFill="1" applyBorder="1" applyProtection="1"/>
    <xf numFmtId="49" fontId="11" fillId="2" borderId="13" xfId="0" applyNumberFormat="1" applyFont="1" applyFill="1" applyBorder="1" applyAlignment="1" applyProtection="1"/>
    <xf numFmtId="49" fontId="1" fillId="2" borderId="13" xfId="0" applyNumberFormat="1" applyFont="1" applyFill="1" applyBorder="1" applyProtection="1"/>
    <xf numFmtId="49" fontId="1" fillId="4" borderId="0" xfId="0" applyNumberFormat="1" applyFont="1" applyFill="1" applyBorder="1" applyProtection="1"/>
    <xf numFmtId="49" fontId="8" fillId="2" borderId="0" xfId="0" applyNumberFormat="1" applyFont="1" applyFill="1" applyBorder="1" applyAlignment="1" applyProtection="1">
      <alignment vertical="center"/>
    </xf>
    <xf numFmtId="49" fontId="8" fillId="3" borderId="0" xfId="0" applyNumberFormat="1" applyFont="1" applyFill="1" applyBorder="1" applyProtection="1"/>
    <xf numFmtId="49" fontId="8" fillId="5" borderId="0" xfId="0" applyNumberFormat="1" applyFont="1" applyFill="1" applyBorder="1" applyProtection="1"/>
    <xf numFmtId="0" fontId="1" fillId="2" borderId="0" xfId="0" applyFont="1" applyFill="1" applyBorder="1" applyAlignment="1" applyProtection="1">
      <alignment horizontal="left" vertical="top"/>
      <protection locked="0"/>
    </xf>
    <xf numFmtId="49" fontId="12" fillId="2" borderId="0" xfId="0" applyNumberFormat="1" applyFont="1" applyFill="1" applyBorder="1" applyProtection="1"/>
    <xf numFmtId="49" fontId="13" fillId="2" borderId="0" xfId="0" applyNumberFormat="1" applyFont="1" applyFill="1" applyBorder="1" applyProtection="1"/>
    <xf numFmtId="49" fontId="12" fillId="2" borderId="0" xfId="0" applyNumberFormat="1" applyFont="1" applyFill="1" applyBorder="1" applyAlignment="1" applyProtection="1">
      <alignment vertical="center"/>
    </xf>
    <xf numFmtId="49" fontId="13" fillId="2" borderId="0" xfId="0" applyNumberFormat="1" applyFont="1" applyFill="1" applyBorder="1" applyAlignment="1" applyProtection="1">
      <alignment vertical="center"/>
    </xf>
    <xf numFmtId="49" fontId="14" fillId="2" borderId="0" xfId="0" applyNumberFormat="1" applyFont="1" applyFill="1" applyBorder="1" applyAlignment="1" applyProtection="1">
      <alignment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2" xfId="49"/>
  </cellStyles>
  <tableStyles count="0" defaultTableStyle="TableStyleMedium2" defaultPivotStyle="PivotStyleMedium9"/>
  <colors>
    <mruColors>
      <color rgb="00F2F3F8"/>
      <color rgb="00689CDA"/>
      <color rgb="00FFFFCC"/>
      <color rgb="00FFFF66"/>
      <color rgb="00EDF676"/>
      <color rgb="00E6E686"/>
      <color rgb="008385E9"/>
      <color rgb="00FFFCF7"/>
      <color rgb="00F5F6F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17</xdr:col>
      <xdr:colOff>209550</xdr:colOff>
      <xdr:row>15</xdr:row>
      <xdr:rowOff>0</xdr:rowOff>
    </xdr:from>
    <xdr:ext cx="240030" cy="171450"/>
    <xdr:sp>
      <xdr:nvSpPr>
        <xdr:cNvPr id="2" name="TextBox 1"/>
        <xdr:cNvSpPr txBox="1"/>
      </xdr:nvSpPr>
      <xdr:spPr>
        <a:xfrm>
          <a:off x="10770870" y="4438015"/>
          <a:ext cx="240030" cy="1714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1100"/>
        </a:p>
      </xdr:txBody>
    </xdr:sp>
    <xdr:clientData/>
  </xdr:oneCellAnchor>
  <xdr:oneCellAnchor>
    <xdr:from>
      <xdr:col>19</xdr:col>
      <xdr:colOff>445770</xdr:colOff>
      <xdr:row>14</xdr:row>
      <xdr:rowOff>45720</xdr:rowOff>
    </xdr:from>
    <xdr:ext cx="1146810" cy="392430"/>
    <xdr:sp>
      <xdr:nvSpPr>
        <xdr:cNvPr id="3" name="TextBox 2"/>
        <xdr:cNvSpPr txBox="1"/>
      </xdr:nvSpPr>
      <xdr:spPr>
        <a:xfrm>
          <a:off x="15114270" y="4161790"/>
          <a:ext cx="1146810" cy="39243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zh-CN" altLang="en-US" sz="800"/>
        </a:p>
      </xdr:txBody>
    </xdr:sp>
    <xdr:clientData/>
  </xdr:oneCellAnchor>
  <xdr:oneCellAnchor>
    <xdr:from>
      <xdr:col>6</xdr:col>
      <xdr:colOff>4480</xdr:colOff>
      <xdr:row>22</xdr:row>
      <xdr:rowOff>430305</xdr:rowOff>
    </xdr:from>
    <xdr:ext cx="1734671" cy="174278"/>
    <xdr:sp>
      <xdr:nvSpPr>
        <xdr:cNvPr id="4" name="文本框 3"/>
        <xdr:cNvSpPr txBox="1"/>
      </xdr:nvSpPr>
      <xdr:spPr>
        <a:xfrm>
          <a:off x="6443345" y="8355965"/>
          <a:ext cx="1734185" cy="1746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S27"/>
  <sheetViews>
    <sheetView tabSelected="1" zoomScale="85" zoomScaleNormal="85" workbookViewId="0">
      <selection activeCell="B15" sqref="B15:E15"/>
    </sheetView>
  </sheetViews>
  <sheetFormatPr defaultColWidth="9" defaultRowHeight="20.25" customHeight="1"/>
  <cols>
    <col min="1" max="1" width="17.1111111111111" style="34" customWidth="1"/>
    <col min="2" max="2" width="22.7777777777778" style="34" customWidth="1"/>
    <col min="3" max="3" width="20.3333333333333" style="34" customWidth="1"/>
    <col min="4" max="4" width="15" style="34" customWidth="1"/>
    <col min="5" max="5" width="13.5555555555556" style="34" customWidth="1"/>
    <col min="6" max="16" width="5.11111111111111" style="2" customWidth="1"/>
    <col min="17" max="17" width="9" style="2"/>
    <col min="18" max="18" width="37.4444444444444" style="2" customWidth="1"/>
    <col min="19" max="19" width="22.4444444444444" style="2" customWidth="1"/>
    <col min="20" max="16384" width="9" style="2"/>
  </cols>
  <sheetData>
    <row r="1" customHeight="1" spans="1:19">
      <c r="A1" s="35" t="s">
        <v>0</v>
      </c>
      <c r="B1" s="35"/>
      <c r="C1" s="35"/>
      <c r="D1" s="35"/>
      <c r="E1" s="35"/>
      <c r="F1" s="36" t="s">
        <v>1</v>
      </c>
      <c r="G1" s="37"/>
      <c r="H1" s="37"/>
      <c r="I1" s="37"/>
      <c r="J1" s="37"/>
      <c r="K1" s="37"/>
      <c r="L1" s="37"/>
      <c r="M1" s="37"/>
      <c r="N1" s="37"/>
      <c r="O1" s="37"/>
      <c r="P1" s="97"/>
      <c r="Q1" s="107"/>
      <c r="R1" s="108" t="s">
        <v>2</v>
      </c>
      <c r="S1" s="107" t="s">
        <v>3</v>
      </c>
    </row>
    <row r="2" s="1" customFormat="1" ht="21" customHeight="1" spans="1:19">
      <c r="A2" s="38" t="s">
        <v>4</v>
      </c>
      <c r="B2" s="39"/>
      <c r="C2" s="40"/>
      <c r="D2" s="40"/>
      <c r="E2" s="41"/>
      <c r="F2" s="42"/>
      <c r="G2" s="37"/>
      <c r="H2" s="43" t="s">
        <v>5</v>
      </c>
      <c r="I2" s="43"/>
      <c r="J2" s="43"/>
      <c r="K2" s="47"/>
      <c r="L2" s="43" t="s">
        <v>6</v>
      </c>
      <c r="M2" s="43"/>
      <c r="N2" s="43"/>
      <c r="O2" s="37"/>
      <c r="P2" s="97"/>
      <c r="Q2" s="109"/>
      <c r="R2" s="110" t="s">
        <v>7</v>
      </c>
      <c r="S2" s="109" t="s">
        <v>8</v>
      </c>
    </row>
    <row r="3" s="1" customFormat="1" ht="21" customHeight="1" spans="1:19">
      <c r="A3" s="38" t="s">
        <v>9</v>
      </c>
      <c r="B3" s="44"/>
      <c r="C3" s="45"/>
      <c r="D3" s="45"/>
      <c r="E3" s="46"/>
      <c r="F3" s="42"/>
      <c r="G3" s="37"/>
      <c r="H3" s="43"/>
      <c r="I3" s="43"/>
      <c r="J3" s="43"/>
      <c r="K3" s="47"/>
      <c r="L3" s="43"/>
      <c r="M3" s="43"/>
      <c r="N3" s="43"/>
      <c r="O3" s="37"/>
      <c r="P3" s="97"/>
      <c r="Q3" s="109"/>
      <c r="R3" s="111"/>
      <c r="S3" s="103"/>
    </row>
    <row r="4" s="1" customFormat="1" ht="21" customHeight="1" spans="1:19">
      <c r="A4" s="38" t="s">
        <v>10</v>
      </c>
      <c r="B4" s="44"/>
      <c r="C4" s="45"/>
      <c r="D4" s="45"/>
      <c r="E4" s="46"/>
      <c r="F4" s="42"/>
      <c r="G4" s="37"/>
      <c r="H4" s="47"/>
      <c r="I4" s="47"/>
      <c r="J4" s="47"/>
      <c r="K4" s="47"/>
      <c r="L4" s="47"/>
      <c r="M4" s="98"/>
      <c r="N4" s="98"/>
      <c r="O4" s="37"/>
      <c r="P4" s="97"/>
      <c r="Q4" s="109"/>
      <c r="R4" s="111"/>
      <c r="S4" s="103"/>
    </row>
    <row r="5" s="1" customFormat="1" ht="21" customHeight="1" spans="1:19">
      <c r="A5" s="38" t="s">
        <v>11</v>
      </c>
      <c r="B5" s="44"/>
      <c r="C5" s="45"/>
      <c r="D5" s="45"/>
      <c r="E5" s="46"/>
      <c r="F5" s="42"/>
      <c r="G5" s="37"/>
      <c r="H5" s="43" t="s">
        <v>12</v>
      </c>
      <c r="I5" s="43"/>
      <c r="J5" s="43"/>
      <c r="K5" s="47"/>
      <c r="L5" s="43" t="s">
        <v>13</v>
      </c>
      <c r="M5" s="43"/>
      <c r="N5" s="43"/>
      <c r="O5" s="37"/>
      <c r="P5" s="97"/>
      <c r="R5" s="103"/>
      <c r="S5" s="103"/>
    </row>
    <row r="6" s="1" customFormat="1" ht="21" customHeight="1" spans="1:16">
      <c r="A6" s="38" t="s">
        <v>14</v>
      </c>
      <c r="B6" s="48"/>
      <c r="C6" s="49"/>
      <c r="D6" s="49"/>
      <c r="E6" s="50"/>
      <c r="F6" s="51"/>
      <c r="G6" s="37"/>
      <c r="H6" s="43"/>
      <c r="I6" s="43"/>
      <c r="J6" s="43"/>
      <c r="K6" s="47"/>
      <c r="L6" s="43"/>
      <c r="M6" s="43"/>
      <c r="N6" s="43"/>
      <c r="O6" s="37"/>
      <c r="P6" s="97"/>
    </row>
    <row r="7" s="1" customFormat="1" ht="21" customHeight="1" spans="1:16">
      <c r="A7" s="38" t="s">
        <v>15</v>
      </c>
      <c r="B7" s="48"/>
      <c r="C7" s="49"/>
      <c r="D7" s="49"/>
      <c r="E7" s="50"/>
      <c r="F7" s="51"/>
      <c r="G7" s="37"/>
      <c r="H7" s="43"/>
      <c r="I7" s="43"/>
      <c r="J7" s="43"/>
      <c r="K7" s="47"/>
      <c r="L7" s="43"/>
      <c r="M7" s="43"/>
      <c r="N7" s="43"/>
      <c r="O7" s="37"/>
      <c r="P7" s="97"/>
    </row>
    <row r="8" s="1" customFormat="1" ht="43" customHeight="1" spans="1:16">
      <c r="A8" s="38" t="s">
        <v>16</v>
      </c>
      <c r="B8" s="52"/>
      <c r="C8" s="53"/>
      <c r="D8" s="53"/>
      <c r="E8" s="54"/>
      <c r="F8" s="51"/>
      <c r="G8" s="37"/>
      <c r="H8" s="55"/>
      <c r="I8" s="55"/>
      <c r="J8" s="55"/>
      <c r="K8" s="99"/>
      <c r="L8" s="55"/>
      <c r="M8" s="55"/>
      <c r="N8" s="55"/>
      <c r="O8" s="37"/>
      <c r="P8" s="97"/>
    </row>
    <row r="9" s="1" customFormat="1" ht="21" customHeight="1" spans="1:16">
      <c r="A9" s="38" t="s">
        <v>17</v>
      </c>
      <c r="B9" s="56"/>
      <c r="C9" s="57" t="s">
        <v>18</v>
      </c>
      <c r="D9" s="56"/>
      <c r="E9" s="56"/>
      <c r="F9" s="58"/>
      <c r="G9" s="2"/>
      <c r="H9" s="2"/>
      <c r="M9" s="2"/>
      <c r="N9" s="2"/>
      <c r="O9" s="2"/>
      <c r="P9" s="58"/>
    </row>
    <row r="10" s="1" customFormat="1" ht="24.9" customHeight="1" spans="1:16">
      <c r="A10" s="38" t="s">
        <v>19</v>
      </c>
      <c r="B10" s="52"/>
      <c r="C10" s="59"/>
      <c r="D10" s="59"/>
      <c r="E10" s="60"/>
      <c r="F10" s="58"/>
      <c r="G10" s="2"/>
      <c r="H10" s="2"/>
      <c r="I10" s="100" t="s">
        <v>20</v>
      </c>
      <c r="J10" s="101"/>
      <c r="K10" s="58"/>
      <c r="L10" s="58"/>
      <c r="M10" s="2"/>
      <c r="N10" s="2"/>
      <c r="O10" s="2"/>
      <c r="P10" s="58"/>
    </row>
    <row r="11" s="1" customFormat="1" ht="21" customHeight="1" spans="1:16">
      <c r="A11" s="38" t="s">
        <v>21</v>
      </c>
      <c r="B11" s="61"/>
      <c r="C11" s="62"/>
      <c r="D11" s="62"/>
      <c r="E11" s="63"/>
      <c r="F11" s="58"/>
      <c r="G11" s="58"/>
      <c r="H11" s="2"/>
      <c r="I11" s="102"/>
      <c r="J11" s="103" t="s">
        <v>22</v>
      </c>
      <c r="K11" s="58"/>
      <c r="L11" s="58"/>
      <c r="M11" s="58"/>
      <c r="N11" s="58"/>
      <c r="O11" s="58"/>
      <c r="P11" s="58"/>
    </row>
    <row r="12" s="1" customFormat="1" ht="21" customHeight="1" spans="1:16">
      <c r="A12" s="38" t="s">
        <v>23</v>
      </c>
      <c r="B12" s="64"/>
      <c r="C12" s="62"/>
      <c r="D12" s="62"/>
      <c r="E12" s="63"/>
      <c r="F12" s="65"/>
      <c r="G12" s="65"/>
      <c r="H12" s="66"/>
      <c r="I12" s="104"/>
      <c r="J12" s="103" t="s">
        <v>24</v>
      </c>
      <c r="K12" s="2"/>
      <c r="L12" s="2"/>
      <c r="M12" s="58"/>
      <c r="N12" s="58"/>
      <c r="O12" s="58"/>
      <c r="P12" s="58"/>
    </row>
    <row r="13" s="1" customFormat="1" ht="21" customHeight="1" spans="1:16">
      <c r="A13" s="38" t="s">
        <v>25</v>
      </c>
      <c r="B13" s="64" t="str">
        <f>IFERROR(VLOOKUP(B12,R1:S2,2,),"")</f>
        <v/>
      </c>
      <c r="C13" s="62"/>
      <c r="D13" s="62"/>
      <c r="E13" s="63"/>
      <c r="F13" s="65"/>
      <c r="G13" s="65"/>
      <c r="H13" s="66"/>
      <c r="I13" s="105"/>
      <c r="J13" s="103" t="s">
        <v>26</v>
      </c>
      <c r="K13" s="2"/>
      <c r="L13" s="2"/>
      <c r="M13" s="58"/>
      <c r="N13" s="58"/>
      <c r="O13" s="58"/>
      <c r="P13" s="58"/>
    </row>
    <row r="14" s="1" customFormat="1" ht="25.95" customHeight="1" spans="1:16">
      <c r="A14" s="38" t="s">
        <v>27</v>
      </c>
      <c r="B14" s="61"/>
      <c r="C14" s="67"/>
      <c r="D14" s="67"/>
      <c r="E14" s="68"/>
      <c r="F14" s="65"/>
      <c r="G14" s="65"/>
      <c r="H14" s="66"/>
      <c r="I14" s="65"/>
      <c r="J14" s="103"/>
      <c r="K14" s="2"/>
      <c r="L14" s="2"/>
      <c r="M14" s="58"/>
      <c r="N14" s="58"/>
      <c r="O14" s="58"/>
      <c r="P14" s="58"/>
    </row>
    <row r="15" ht="25.35" customHeight="1" spans="1:16">
      <c r="A15" s="69" t="s">
        <v>28</v>
      </c>
      <c r="B15" s="70"/>
      <c r="C15" s="71"/>
      <c r="D15" s="71"/>
      <c r="E15" s="72"/>
      <c r="F15" s="65"/>
      <c r="G15" s="65"/>
      <c r="H15" s="66"/>
      <c r="I15" s="65"/>
      <c r="J15" s="103"/>
      <c r="M15" s="58"/>
      <c r="N15" s="58"/>
      <c r="O15" s="58"/>
      <c r="P15" s="58"/>
    </row>
    <row r="16" ht="48.9" customHeight="1" spans="1:16">
      <c r="A16" s="73" t="s">
        <v>29</v>
      </c>
      <c r="B16" s="69" t="s">
        <v>30</v>
      </c>
      <c r="C16" s="74"/>
      <c r="D16" s="69" t="s">
        <v>31</v>
      </c>
      <c r="E16" s="75"/>
      <c r="F16" s="76"/>
      <c r="G16" s="76"/>
      <c r="H16" s="77"/>
      <c r="I16" s="65"/>
      <c r="J16" s="77"/>
      <c r="K16" s="33"/>
      <c r="L16" s="106"/>
      <c r="M16" s="106"/>
      <c r="N16" s="106"/>
      <c r="O16" s="106"/>
      <c r="P16" s="106"/>
    </row>
    <row r="17" ht="48.9" customHeight="1" spans="1:10">
      <c r="A17" s="73"/>
      <c r="B17" s="69" t="s">
        <v>32</v>
      </c>
      <c r="C17" s="78"/>
      <c r="D17" s="69" t="s">
        <v>33</v>
      </c>
      <c r="E17" s="5"/>
      <c r="F17" s="66"/>
      <c r="G17" s="66"/>
      <c r="H17" s="66"/>
      <c r="I17" s="66"/>
      <c r="J17" s="66"/>
    </row>
    <row r="18" ht="25.35" customHeight="1" spans="1:10">
      <c r="A18" s="73"/>
      <c r="B18" s="69" t="s">
        <v>34</v>
      </c>
      <c r="C18" s="5"/>
      <c r="D18" s="69" t="s">
        <v>35</v>
      </c>
      <c r="E18" s="5"/>
      <c r="F18" s="66"/>
      <c r="G18" s="66"/>
      <c r="H18" s="66"/>
      <c r="I18" s="66"/>
      <c r="J18" s="66"/>
    </row>
    <row r="19" ht="25.35" customHeight="1" spans="1:5">
      <c r="A19" s="73"/>
      <c r="B19" s="69" t="s">
        <v>36</v>
      </c>
      <c r="C19" s="70"/>
      <c r="D19" s="71"/>
      <c r="E19" s="72"/>
    </row>
    <row r="20" ht="45" customHeight="1" spans="1:5">
      <c r="A20" s="79" t="s">
        <v>37</v>
      </c>
      <c r="B20" s="80" t="s">
        <v>38</v>
      </c>
      <c r="C20" s="81"/>
      <c r="D20" s="80" t="s">
        <v>39</v>
      </c>
      <c r="E20" s="82"/>
    </row>
    <row r="21" s="33" customFormat="1" ht="38.25" customHeight="1" spans="1:16">
      <c r="A21" s="83"/>
      <c r="B21" s="80" t="s">
        <v>40</v>
      </c>
      <c r="C21" s="84"/>
      <c r="D21" s="85"/>
      <c r="E21" s="86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="33" customFormat="1" ht="42.9" customHeight="1" spans="1:16">
      <c r="A22" s="87" t="s">
        <v>41</v>
      </c>
      <c r="B22" s="88">
        <v>0</v>
      </c>
      <c r="C22" s="89"/>
      <c r="D22" s="89"/>
      <c r="E22" s="90" t="str">
        <f>IF(B22=0,"ND",B22)</f>
        <v>ND</v>
      </c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ht="42.9" customHeight="1" spans="1:5">
      <c r="A23" s="73" t="s">
        <v>42</v>
      </c>
      <c r="B23" s="91" t="s">
        <v>43</v>
      </c>
      <c r="C23" s="92"/>
      <c r="D23" s="92"/>
      <c r="E23" s="93"/>
    </row>
    <row r="24" customHeight="1" spans="1:5">
      <c r="A24" s="94" t="s">
        <v>44</v>
      </c>
      <c r="B24" s="95"/>
      <c r="C24" s="95"/>
      <c r="D24" s="95"/>
      <c r="E24" s="96"/>
    </row>
    <row r="25" customHeight="1" spans="1:5">
      <c r="A25" s="38" t="s">
        <v>45</v>
      </c>
      <c r="B25" s="3"/>
      <c r="C25" s="3"/>
      <c r="D25" s="3"/>
      <c r="E25" s="3"/>
    </row>
    <row r="26" customHeight="1" spans="1:5">
      <c r="A26" s="38" t="s">
        <v>46</v>
      </c>
      <c r="B26" s="3"/>
      <c r="C26" s="3"/>
      <c r="D26" s="3"/>
      <c r="E26" s="3"/>
    </row>
    <row r="27" customHeight="1" spans="1:5">
      <c r="A27" s="38" t="s">
        <v>47</v>
      </c>
      <c r="B27" s="3"/>
      <c r="C27" s="3"/>
      <c r="D27" s="3"/>
      <c r="E27" s="3"/>
    </row>
  </sheetData>
  <sheetProtection formatCells="0" formatColumns="0" formatRows="0" sort="0" autoFilter="0" pivotTables="0"/>
  <mergeCells count="29">
    <mergeCell ref="A1:E1"/>
    <mergeCell ref="B2:E2"/>
    <mergeCell ref="B3:E3"/>
    <mergeCell ref="B4:E4"/>
    <mergeCell ref="B5:E5"/>
    <mergeCell ref="B6:E6"/>
    <mergeCell ref="B7:E7"/>
    <mergeCell ref="B8:E8"/>
    <mergeCell ref="D9:E9"/>
    <mergeCell ref="B10:E10"/>
    <mergeCell ref="B11:E11"/>
    <mergeCell ref="B12:E12"/>
    <mergeCell ref="B13:E13"/>
    <mergeCell ref="B14:E14"/>
    <mergeCell ref="B15:E15"/>
    <mergeCell ref="C19:E19"/>
    <mergeCell ref="C21:E21"/>
    <mergeCell ref="B22:D22"/>
    <mergeCell ref="B23:E23"/>
    <mergeCell ref="A24:E24"/>
    <mergeCell ref="B25:E25"/>
    <mergeCell ref="B26:E26"/>
    <mergeCell ref="B27:E27"/>
    <mergeCell ref="A16:A19"/>
    <mergeCell ref="A20:A21"/>
    <mergeCell ref="H2:J3"/>
    <mergeCell ref="L2:N3"/>
    <mergeCell ref="H5:J7"/>
    <mergeCell ref="L5:N7"/>
  </mergeCells>
  <dataValidations count="1">
    <dataValidation type="list" allowBlank="1" showInputMessage="1" sqref="B12:E12">
      <formula1>$R$1:$R$2</formula1>
    </dataValidation>
  </dataValidations>
  <pageMargins left="0.699305555555556" right="0.699305555555556" top="0.75" bottom="0.75" header="0.3" footer="0.3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H373"/>
  <sheetViews>
    <sheetView workbookViewId="0">
      <selection activeCell="L9" sqref="L9"/>
    </sheetView>
  </sheetViews>
  <sheetFormatPr defaultColWidth="9" defaultRowHeight="13.8"/>
  <cols>
    <col min="1" max="1" width="9" style="2"/>
    <col min="2" max="5" width="15.1111111111111" style="3" customWidth="1"/>
    <col min="6" max="7" width="12.4444444444444" style="4" customWidth="1"/>
    <col min="8" max="8" width="14.1111111111111" style="5" customWidth="1"/>
    <col min="9" max="10" width="12.4444444444444" style="4" customWidth="1"/>
    <col min="11" max="15" width="11.3333333333333" style="6" customWidth="1"/>
    <col min="16" max="16" width="12.4444444444444" style="4" customWidth="1"/>
    <col min="17" max="16384" width="9" style="2"/>
  </cols>
  <sheetData>
    <row r="1" ht="20.25" customHeight="1" spans="1:16">
      <c r="A1" s="7" t="s">
        <v>48</v>
      </c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</row>
    <row r="2" s="1" customFormat="1" ht="18.9" customHeight="1" spans="1:34">
      <c r="A2" s="9" t="s">
        <v>49</v>
      </c>
      <c r="B2" s="9" t="s">
        <v>50</v>
      </c>
      <c r="C2" s="10" t="s">
        <v>51</v>
      </c>
      <c r="D2" s="10" t="s">
        <v>52</v>
      </c>
      <c r="E2" s="11" t="s">
        <v>53</v>
      </c>
      <c r="F2" s="12" t="s">
        <v>54</v>
      </c>
      <c r="G2" s="13"/>
      <c r="H2" s="14"/>
      <c r="I2" s="21" t="s">
        <v>55</v>
      </c>
      <c r="J2" s="21"/>
      <c r="K2" s="22" t="s">
        <v>56</v>
      </c>
      <c r="L2" s="23"/>
      <c r="M2" s="23"/>
      <c r="N2" s="23"/>
      <c r="O2" s="24"/>
      <c r="P2" s="25" t="s">
        <v>57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="1" customFormat="1" ht="21" customHeight="1" spans="1:34">
      <c r="A3" s="15"/>
      <c r="B3" s="15"/>
      <c r="C3" s="10"/>
      <c r="D3" s="16"/>
      <c r="E3" s="11"/>
      <c r="F3" s="12" t="s">
        <v>58</v>
      </c>
      <c r="G3" s="13"/>
      <c r="H3" s="17" t="s">
        <v>59</v>
      </c>
      <c r="I3" s="21" t="s">
        <v>60</v>
      </c>
      <c r="J3" s="21" t="s">
        <v>61</v>
      </c>
      <c r="K3" s="26" t="s">
        <v>62</v>
      </c>
      <c r="L3" s="27" t="s">
        <v>63</v>
      </c>
      <c r="M3" s="26" t="s">
        <v>64</v>
      </c>
      <c r="N3" s="26" t="s">
        <v>65</v>
      </c>
      <c r="O3" s="28" t="s">
        <v>66</v>
      </c>
      <c r="P3" s="11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="1" customFormat="1" ht="21" customHeight="1" spans="1:34">
      <c r="A4" s="15"/>
      <c r="B4" s="15"/>
      <c r="C4" s="18"/>
      <c r="D4" s="19"/>
      <c r="E4" s="20"/>
      <c r="F4" s="21" t="s">
        <v>67</v>
      </c>
      <c r="G4" s="21" t="s">
        <v>68</v>
      </c>
      <c r="H4" s="17"/>
      <c r="I4" s="21"/>
      <c r="J4" s="21"/>
      <c r="K4" s="29"/>
      <c r="L4" s="30"/>
      <c r="M4" s="31"/>
      <c r="N4" s="31"/>
      <c r="O4" s="32"/>
      <c r="P4" s="20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ht="20.25" customHeight="1" spans="1:10">
      <c r="A5" s="3"/>
      <c r="H5" s="5" t="str">
        <f>IFERROR(IF(ISBLANK(I5),"",IF(J5="ND","否","是")),"")</f>
        <v/>
      </c>
      <c r="J5" s="5" t="str">
        <f>IFERROR(IF(I5="ND","ND",baoliuxiaoshuwei(((I5-基础页!$B$22)*基础页!$B$15)/E5,1)),"")</f>
        <v/>
      </c>
    </row>
    <row r="6" ht="20.25" customHeight="1" spans="1:10">
      <c r="A6" s="3"/>
      <c r="H6" s="5" t="str">
        <f t="shared" ref="H6:H69" si="0">IFERROR(IF(ISBLANK(I6),"",IF(J6="ND","否","是")),"")</f>
        <v/>
      </c>
      <c r="J6" s="5" t="str">
        <f>IFERROR(IF(I6="ND","ND",baoliuxiaoshuwei(((I6-基础页!$B$22)*基础页!$B$15)/E6,1)),"")</f>
        <v/>
      </c>
    </row>
    <row r="7" ht="20.25" customHeight="1" spans="1:10">
      <c r="A7" s="3"/>
      <c r="H7" s="5" t="str">
        <f t="shared" si="0"/>
        <v/>
      </c>
      <c r="J7" s="5" t="str">
        <f>IFERROR(IF(I7="ND","ND",baoliuxiaoshuwei(((I7-基础页!$B$22)*基础页!$B$15)/E7,1)),"")</f>
        <v/>
      </c>
    </row>
    <row r="8" ht="20.25" customHeight="1" spans="1:10">
      <c r="A8" s="3"/>
      <c r="H8" s="5" t="str">
        <f t="shared" si="0"/>
        <v/>
      </c>
      <c r="J8" s="5" t="str">
        <f>IFERROR(IF(I8="ND","ND",baoliuxiaoshuwei(((I8-基础页!$B$22)*基础页!$B$15)/E8,1)),"")</f>
        <v/>
      </c>
    </row>
    <row r="9" ht="20.25" customHeight="1" spans="1:10">
      <c r="A9" s="3"/>
      <c r="H9" s="5" t="str">
        <f t="shared" si="0"/>
        <v/>
      </c>
      <c r="J9" s="5" t="str">
        <f>IFERROR(IF(I9="ND","ND",baoliuxiaoshuwei(((I9-基础页!$B$22)*基础页!$B$15)/E9,1)),"")</f>
        <v/>
      </c>
    </row>
    <row r="10" ht="20.25" customHeight="1" spans="1:10">
      <c r="A10" s="3"/>
      <c r="H10" s="5" t="str">
        <f t="shared" si="0"/>
        <v/>
      </c>
      <c r="J10" s="5" t="str">
        <f>IFERROR(IF(I10="ND","ND",baoliuxiaoshuwei(((I10-基础页!$B$22)*基础页!$B$15)/E10,1)),"")</f>
        <v/>
      </c>
    </row>
    <row r="11" ht="20.25" customHeight="1" spans="1:10">
      <c r="A11" s="3"/>
      <c r="H11" s="5" t="str">
        <f t="shared" si="0"/>
        <v/>
      </c>
      <c r="J11" s="5" t="str">
        <f>IFERROR(IF(I11="ND","ND",baoliuxiaoshuwei(((I11-基础页!$B$22)*基础页!$B$15)/E11,1)),"")</f>
        <v/>
      </c>
    </row>
    <row r="12" ht="20.25" customHeight="1" spans="1:10">
      <c r="A12" s="3"/>
      <c r="H12" s="5" t="str">
        <f t="shared" si="0"/>
        <v/>
      </c>
      <c r="J12" s="5" t="str">
        <f>IFERROR(IF(I12="ND","ND",baoliuxiaoshuwei(((I12-基础页!$B$22)*基础页!$B$15)/E12,1)),"")</f>
        <v/>
      </c>
    </row>
    <row r="13" ht="20.25" customHeight="1" spans="1:10">
      <c r="A13" s="3"/>
      <c r="H13" s="5" t="str">
        <f t="shared" si="0"/>
        <v/>
      </c>
      <c r="J13" s="5" t="str">
        <f>IFERROR(IF(I13="ND","ND",baoliuxiaoshuwei(((I13-基础页!$B$22)*基础页!$B$15)/E13,1)),"")</f>
        <v/>
      </c>
    </row>
    <row r="14" ht="20.25" customHeight="1" spans="1:10">
      <c r="A14" s="3"/>
      <c r="H14" s="5" t="str">
        <f t="shared" si="0"/>
        <v/>
      </c>
      <c r="J14" s="5" t="str">
        <f>IFERROR(IF(I14="ND","ND",baoliuxiaoshuwei(((I14-基础页!$B$22)*基础页!$B$15)/E14,1)),"")</f>
        <v/>
      </c>
    </row>
    <row r="15" ht="20.25" customHeight="1" spans="1:10">
      <c r="A15" s="3"/>
      <c r="H15" s="5" t="str">
        <f t="shared" si="0"/>
        <v/>
      </c>
      <c r="J15" s="5" t="str">
        <f>IFERROR(IF(I15="ND","ND",baoliuxiaoshuwei(((I15-基础页!$B$22)*基础页!$B$15)/E15,1)),"")</f>
        <v/>
      </c>
    </row>
    <row r="16" ht="20.25" customHeight="1" spans="1:10">
      <c r="A16" s="3"/>
      <c r="H16" s="5" t="str">
        <f t="shared" si="0"/>
        <v/>
      </c>
      <c r="J16" s="5" t="str">
        <f>IFERROR(IF(I16="ND","ND",baoliuxiaoshuwei(((I16-基础页!$B$22)*基础页!$B$15)/E16,1)),"")</f>
        <v/>
      </c>
    </row>
    <row r="17" ht="20.25" customHeight="1" spans="1:10">
      <c r="A17" s="3"/>
      <c r="H17" s="5" t="str">
        <f t="shared" si="0"/>
        <v/>
      </c>
      <c r="J17" s="5" t="str">
        <f>IFERROR(IF(I17="ND","ND",baoliuxiaoshuwei(((I17-基础页!$B$22)*基础页!$B$15)/E17,1)),"")</f>
        <v/>
      </c>
    </row>
    <row r="18" ht="20.25" customHeight="1" spans="1:10">
      <c r="A18" s="3"/>
      <c r="H18" s="5" t="str">
        <f t="shared" si="0"/>
        <v/>
      </c>
      <c r="J18" s="5" t="str">
        <f>IFERROR(IF(I18="ND","ND",baoliuxiaoshuwei(((I18-基础页!$B$22)*基础页!$B$15)/E18,1)),"")</f>
        <v/>
      </c>
    </row>
    <row r="19" ht="20.25" customHeight="1" spans="1:10">
      <c r="A19" s="3"/>
      <c r="H19" s="5" t="str">
        <f t="shared" si="0"/>
        <v/>
      </c>
      <c r="J19" s="5" t="str">
        <f>IFERROR(IF(I19="ND","ND",baoliuxiaoshuwei(((I19-基础页!$B$22)*基础页!$B$15)/E19,1)),"")</f>
        <v/>
      </c>
    </row>
    <row r="20" ht="20.25" customHeight="1" spans="1:10">
      <c r="A20" s="3"/>
      <c r="H20" s="5" t="str">
        <f t="shared" si="0"/>
        <v/>
      </c>
      <c r="J20" s="5" t="str">
        <f>IFERROR(IF(I20="ND","ND",baoliuxiaoshuwei(((I20-基础页!$B$22)*基础页!$B$15)/E20,1)),"")</f>
        <v/>
      </c>
    </row>
    <row r="21" ht="20.25" customHeight="1" spans="1:10">
      <c r="A21" s="3"/>
      <c r="H21" s="5" t="str">
        <f t="shared" si="0"/>
        <v/>
      </c>
      <c r="J21" s="5" t="str">
        <f>IFERROR(IF(I21="ND","ND",baoliuxiaoshuwei(((I21-基础页!$B$22)*基础页!$B$15)/E21,1)),"")</f>
        <v/>
      </c>
    </row>
    <row r="22" ht="20.25" customHeight="1" spans="1:10">
      <c r="A22" s="3"/>
      <c r="H22" s="5" t="str">
        <f t="shared" si="0"/>
        <v/>
      </c>
      <c r="J22" s="5" t="str">
        <f>IFERROR(IF(I22="ND","ND",baoliuxiaoshuwei(((I22-基础页!$B$22)*基础页!$B$15)/E22,1)),"")</f>
        <v/>
      </c>
    </row>
    <row r="23" ht="20.25" customHeight="1" spans="1:10">
      <c r="A23" s="3"/>
      <c r="H23" s="5" t="str">
        <f t="shared" si="0"/>
        <v/>
      </c>
      <c r="J23" s="5" t="str">
        <f>IFERROR(IF(I23="ND","ND",baoliuxiaoshuwei(((I23-基础页!$B$22)*基础页!$B$15)/E23,1)),"")</f>
        <v/>
      </c>
    </row>
    <row r="24" ht="20.25" customHeight="1" spans="1:10">
      <c r="A24" s="3"/>
      <c r="H24" s="5" t="str">
        <f t="shared" si="0"/>
        <v/>
      </c>
      <c r="J24" s="5" t="str">
        <f>IFERROR(IF(I24="ND","ND",baoliuxiaoshuwei(((I24-基础页!$B$22)*基础页!$B$15)/E24,1)),"")</f>
        <v/>
      </c>
    </row>
    <row r="25" ht="20.25" customHeight="1" spans="1:10">
      <c r="A25" s="3"/>
      <c r="H25" s="5" t="str">
        <f t="shared" si="0"/>
        <v/>
      </c>
      <c r="J25" s="5" t="str">
        <f>IFERROR(IF(I25="ND","ND",baoliuxiaoshuwei(((I25-基础页!$B$22)*基础页!$B$15)/E25,1)),"")</f>
        <v/>
      </c>
    </row>
    <row r="26" ht="20.25" customHeight="1" spans="1:10">
      <c r="A26" s="3"/>
      <c r="H26" s="5" t="str">
        <f t="shared" si="0"/>
        <v/>
      </c>
      <c r="J26" s="5" t="str">
        <f>IFERROR(IF(I26="ND","ND",baoliuxiaoshuwei(((I26-基础页!$B$22)*基础页!$B$15)/E26,1)),"")</f>
        <v/>
      </c>
    </row>
    <row r="27" ht="20.25" customHeight="1" spans="1:10">
      <c r="A27" s="3"/>
      <c r="H27" s="5" t="str">
        <f t="shared" si="0"/>
        <v/>
      </c>
      <c r="J27" s="5" t="str">
        <f>IFERROR(IF(I27="ND","ND",baoliuxiaoshuwei(((I27-基础页!$B$22)*基础页!$B$15)/E27,1)),"")</f>
        <v/>
      </c>
    </row>
    <row r="28" ht="20.25" customHeight="1" spans="1:10">
      <c r="A28" s="3"/>
      <c r="H28" s="5" t="str">
        <f t="shared" si="0"/>
        <v/>
      </c>
      <c r="J28" s="5" t="str">
        <f>IFERROR(IF(I28="ND","ND",baoliuxiaoshuwei(((I28-基础页!$B$22)*基础页!$B$15)/E28,1)),"")</f>
        <v/>
      </c>
    </row>
    <row r="29" ht="20.25" customHeight="1" spans="1:10">
      <c r="A29" s="3"/>
      <c r="H29" s="5" t="str">
        <f t="shared" si="0"/>
        <v/>
      </c>
      <c r="J29" s="5" t="str">
        <f>IFERROR(IF(I29="ND","ND",baoliuxiaoshuwei(((I29-基础页!$B$22)*基础页!$B$15)/E29,1)),"")</f>
        <v/>
      </c>
    </row>
    <row r="30" ht="20.25" customHeight="1" spans="1:10">
      <c r="A30" s="3"/>
      <c r="H30" s="5" t="str">
        <f t="shared" si="0"/>
        <v/>
      </c>
      <c r="J30" s="5" t="str">
        <f>IFERROR(IF(I30="ND","ND",baoliuxiaoshuwei(((I30-基础页!$B$22)*基础页!$B$15)/E30,1)),"")</f>
        <v/>
      </c>
    </row>
    <row r="31" ht="20.25" customHeight="1" spans="1:10">
      <c r="A31" s="3"/>
      <c r="H31" s="5" t="str">
        <f t="shared" si="0"/>
        <v/>
      </c>
      <c r="J31" s="5" t="str">
        <f>IFERROR(IF(I31="ND","ND",baoliuxiaoshuwei(((I31-基础页!$B$22)*基础页!$B$15)/E31,1)),"")</f>
        <v/>
      </c>
    </row>
    <row r="32" ht="20.25" customHeight="1" spans="1:10">
      <c r="A32" s="3"/>
      <c r="H32" s="5" t="str">
        <f t="shared" si="0"/>
        <v/>
      </c>
      <c r="J32" s="5" t="str">
        <f>IFERROR(IF(I32="ND","ND",baoliuxiaoshuwei(((I32-基础页!$B$22)*基础页!$B$15)/E32,1)),"")</f>
        <v/>
      </c>
    </row>
    <row r="33" ht="20.25" customHeight="1" spans="1:10">
      <c r="A33" s="3"/>
      <c r="H33" s="5" t="str">
        <f t="shared" si="0"/>
        <v/>
      </c>
      <c r="J33" s="5" t="str">
        <f>IFERROR(IF(I33="ND","ND",baoliuxiaoshuwei(((I33-基础页!$B$22)*基础页!$B$15)/E33,1)),"")</f>
        <v/>
      </c>
    </row>
    <row r="34" ht="20.25" customHeight="1" spans="1:10">
      <c r="A34" s="3"/>
      <c r="H34" s="5" t="str">
        <f t="shared" si="0"/>
        <v/>
      </c>
      <c r="J34" s="5" t="str">
        <f>IFERROR(IF(I34="ND","ND",baoliuxiaoshuwei(((I34-基础页!$B$22)*基础页!$B$15)/E34,1)),"")</f>
        <v/>
      </c>
    </row>
    <row r="35" ht="20.25" customHeight="1" spans="1:10">
      <c r="A35" s="3"/>
      <c r="H35" s="5" t="str">
        <f t="shared" si="0"/>
        <v/>
      </c>
      <c r="J35" s="5" t="str">
        <f>IFERROR(IF(I35="ND","ND",baoliuxiaoshuwei(((I35-基础页!$B$22)*基础页!$B$15)/E35,1)),"")</f>
        <v/>
      </c>
    </row>
    <row r="36" ht="20.25" customHeight="1" spans="1:10">
      <c r="A36" s="3"/>
      <c r="H36" s="5" t="str">
        <f t="shared" si="0"/>
        <v/>
      </c>
      <c r="J36" s="5" t="str">
        <f>IFERROR(IF(I36="ND","ND",baoliuxiaoshuwei(((I36-基础页!$B$22)*基础页!$B$15)/E36,1)),"")</f>
        <v/>
      </c>
    </row>
    <row r="37" ht="20.25" customHeight="1" spans="1:10">
      <c r="A37" s="3"/>
      <c r="H37" s="5" t="str">
        <f t="shared" si="0"/>
        <v/>
      </c>
      <c r="J37" s="5" t="str">
        <f>IFERROR(IF(I37="ND","ND",baoliuxiaoshuwei(((I37-基础页!$B$22)*基础页!$B$15)/E37,1)),"")</f>
        <v/>
      </c>
    </row>
    <row r="38" ht="20.25" customHeight="1" spans="1:10">
      <c r="A38" s="3"/>
      <c r="H38" s="5" t="str">
        <f t="shared" si="0"/>
        <v/>
      </c>
      <c r="J38" s="5" t="str">
        <f>IFERROR(IF(I38="ND","ND",baoliuxiaoshuwei(((I38-基础页!$B$22)*基础页!$B$15)/E38,1)),"")</f>
        <v/>
      </c>
    </row>
    <row r="39" ht="20.25" customHeight="1" spans="1:10">
      <c r="A39" s="3"/>
      <c r="H39" s="5" t="str">
        <f t="shared" si="0"/>
        <v/>
      </c>
      <c r="J39" s="5" t="str">
        <f>IFERROR(IF(I39="ND","ND",baoliuxiaoshuwei(((I39-基础页!$B$22)*基础页!$B$15)/E39,1)),"")</f>
        <v/>
      </c>
    </row>
    <row r="40" ht="20.25" customHeight="1" spans="1:10">
      <c r="A40" s="3"/>
      <c r="H40" s="5" t="str">
        <f t="shared" si="0"/>
        <v/>
      </c>
      <c r="J40" s="5" t="str">
        <f>IFERROR(IF(I40="ND","ND",baoliuxiaoshuwei(((I40-基础页!$B$22)*基础页!$B$15)/E40,1)),"")</f>
        <v/>
      </c>
    </row>
    <row r="41" ht="20.25" customHeight="1" spans="1:10">
      <c r="A41" s="3"/>
      <c r="H41" s="5" t="str">
        <f t="shared" si="0"/>
        <v/>
      </c>
      <c r="J41" s="5" t="str">
        <f>IFERROR(IF(I41="ND","ND",baoliuxiaoshuwei(((I41-基础页!$B$22)*基础页!$B$15)/E41,1)),"")</f>
        <v/>
      </c>
    </row>
    <row r="42" ht="20.25" customHeight="1" spans="1:10">
      <c r="A42" s="3"/>
      <c r="H42" s="5" t="str">
        <f t="shared" si="0"/>
        <v/>
      </c>
      <c r="J42" s="5" t="str">
        <f>IFERROR(IF(I42="ND","ND",baoliuxiaoshuwei(((I42-基础页!$B$22)*基础页!$B$15)/E42,1)),"")</f>
        <v/>
      </c>
    </row>
    <row r="43" ht="20.25" customHeight="1" spans="1:10">
      <c r="A43" s="3"/>
      <c r="H43" s="5" t="str">
        <f t="shared" si="0"/>
        <v/>
      </c>
      <c r="J43" s="5" t="str">
        <f>IFERROR(IF(I43="ND","ND",baoliuxiaoshuwei(((I43-基础页!$B$22)*基础页!$B$15)/E43,1)),"")</f>
        <v/>
      </c>
    </row>
    <row r="44" ht="20.25" customHeight="1" spans="8:10">
      <c r="H44" s="5" t="str">
        <f t="shared" si="0"/>
        <v/>
      </c>
      <c r="J44" s="5" t="str">
        <f>IFERROR(IF(I44="ND","ND",baoliuxiaoshuwei(((I44-基础页!$B$22)*基础页!$B$15)/E44,1)),"")</f>
        <v/>
      </c>
    </row>
    <row r="45" ht="20.25" customHeight="1" spans="8:10">
      <c r="H45" s="5" t="str">
        <f t="shared" si="0"/>
        <v/>
      </c>
      <c r="J45" s="5" t="str">
        <f>IFERROR(IF(I45="ND","ND",baoliuxiaoshuwei(((I45-基础页!$B$22)*基础页!$B$15)/E45,1)),"")</f>
        <v/>
      </c>
    </row>
    <row r="46" ht="20.25" customHeight="1" spans="8:10">
      <c r="H46" s="5" t="str">
        <f t="shared" si="0"/>
        <v/>
      </c>
      <c r="J46" s="5" t="str">
        <f>IFERROR(IF(I46="ND","ND",baoliuxiaoshuwei(((I46-基础页!$B$22)*基础页!$B$15)/E46,1)),"")</f>
        <v/>
      </c>
    </row>
    <row r="47" ht="20.25" customHeight="1" spans="8:10">
      <c r="H47" s="5" t="str">
        <f t="shared" si="0"/>
        <v/>
      </c>
      <c r="J47" s="5" t="str">
        <f>IFERROR(IF(I47="ND","ND",baoliuxiaoshuwei(((I47-基础页!$B$22)*基础页!$B$15)/E47,1)),"")</f>
        <v/>
      </c>
    </row>
    <row r="48" ht="20.25" customHeight="1" spans="8:10">
      <c r="H48" s="5" t="str">
        <f t="shared" si="0"/>
        <v/>
      </c>
      <c r="J48" s="5" t="str">
        <f>IFERROR(IF(I48="ND","ND",baoliuxiaoshuwei(((I48-基础页!$B$22)*基础页!$B$15)/E48,1)),"")</f>
        <v/>
      </c>
    </row>
    <row r="49" ht="20.25" customHeight="1" spans="8:10">
      <c r="H49" s="5" t="str">
        <f t="shared" si="0"/>
        <v/>
      </c>
      <c r="J49" s="5" t="str">
        <f>IFERROR(IF(I49="ND","ND",baoliuxiaoshuwei(((I49-基础页!$B$22)*基础页!$B$15)/E49,1)),"")</f>
        <v/>
      </c>
    </row>
    <row r="50" ht="20.25" customHeight="1" spans="8:10">
      <c r="H50" s="5" t="str">
        <f t="shared" si="0"/>
        <v/>
      </c>
      <c r="J50" s="5" t="str">
        <f>IFERROR(IF(I50="ND","ND",baoliuxiaoshuwei(((I50-基础页!$B$22)*基础页!$B$15)/E50,1)),"")</f>
        <v/>
      </c>
    </row>
    <row r="51" ht="20.25" customHeight="1" spans="8:10">
      <c r="H51" s="5" t="str">
        <f t="shared" si="0"/>
        <v/>
      </c>
      <c r="J51" s="5" t="str">
        <f>IFERROR(IF(I51="ND","ND",baoliuxiaoshuwei(((I51-基础页!$B$22)*基础页!$B$15)/E51,1)),"")</f>
        <v/>
      </c>
    </row>
    <row r="52" ht="20.25" customHeight="1" spans="8:10">
      <c r="H52" s="5" t="str">
        <f t="shared" si="0"/>
        <v/>
      </c>
      <c r="J52" s="5" t="str">
        <f>IFERROR(IF(I52="ND","ND",baoliuxiaoshuwei(((I52-基础页!$B$22)*基础页!$B$15)/E52,1)),"")</f>
        <v/>
      </c>
    </row>
    <row r="53" ht="20.25" customHeight="1" spans="8:10">
      <c r="H53" s="5" t="str">
        <f t="shared" si="0"/>
        <v/>
      </c>
      <c r="J53" s="5" t="str">
        <f>IFERROR(IF(I53="ND","ND",baoliuxiaoshuwei(((I53-基础页!$B$22)*基础页!$B$15)/E53,1)),"")</f>
        <v/>
      </c>
    </row>
    <row r="54" ht="20.25" customHeight="1" spans="8:10">
      <c r="H54" s="5" t="str">
        <f t="shared" si="0"/>
        <v/>
      </c>
      <c r="J54" s="5" t="str">
        <f>IFERROR(IF(I54="ND","ND",baoliuxiaoshuwei(((I54-基础页!$B$22)*基础页!$B$15)/E54,1)),"")</f>
        <v/>
      </c>
    </row>
    <row r="55" ht="20.25" customHeight="1" spans="8:10">
      <c r="H55" s="5" t="str">
        <f t="shared" si="0"/>
        <v/>
      </c>
      <c r="J55" s="5" t="str">
        <f>IFERROR(IF(I55="ND","ND",baoliuxiaoshuwei(((I55-基础页!$B$22)*基础页!$B$15)/E55,1)),"")</f>
        <v/>
      </c>
    </row>
    <row r="56" ht="20.25" customHeight="1" spans="8:10">
      <c r="H56" s="5" t="str">
        <f t="shared" si="0"/>
        <v/>
      </c>
      <c r="J56" s="5" t="str">
        <f>IFERROR(IF(I56="ND","ND",baoliuxiaoshuwei(((I56-基础页!$B$22)*基础页!$B$15)/E56,1)),"")</f>
        <v/>
      </c>
    </row>
    <row r="57" ht="20.25" customHeight="1" spans="8:10">
      <c r="H57" s="5" t="str">
        <f t="shared" si="0"/>
        <v/>
      </c>
      <c r="J57" s="5" t="str">
        <f>IFERROR(IF(I57="ND","ND",baoliuxiaoshuwei(((I57-基础页!$B$22)*基础页!$B$15)/E57,1)),"")</f>
        <v/>
      </c>
    </row>
    <row r="58" ht="20.25" customHeight="1" spans="8:10">
      <c r="H58" s="5" t="str">
        <f t="shared" si="0"/>
        <v/>
      </c>
      <c r="J58" s="5" t="str">
        <f>IFERROR(IF(I58="ND","ND",baoliuxiaoshuwei(((I58-基础页!$B$22)*基础页!$B$15)/E58,1)),"")</f>
        <v/>
      </c>
    </row>
    <row r="59" ht="20.25" customHeight="1" spans="8:10">
      <c r="H59" s="5" t="str">
        <f t="shared" si="0"/>
        <v/>
      </c>
      <c r="J59" s="5" t="str">
        <f>IFERROR(IF(I59="ND","ND",baoliuxiaoshuwei(((I59-基础页!$B$22)*基础页!$B$15)/E59,1)),"")</f>
        <v/>
      </c>
    </row>
    <row r="60" ht="20.25" customHeight="1" spans="8:10">
      <c r="H60" s="5" t="str">
        <f t="shared" si="0"/>
        <v/>
      </c>
      <c r="J60" s="5" t="str">
        <f>IFERROR(IF(I60="ND","ND",baoliuxiaoshuwei(((I60-基础页!$B$22)*基础页!$B$15)/E60,1)),"")</f>
        <v/>
      </c>
    </row>
    <row r="61" ht="20.25" customHeight="1" spans="8:10">
      <c r="H61" s="5" t="str">
        <f t="shared" si="0"/>
        <v/>
      </c>
      <c r="J61" s="5" t="str">
        <f>IFERROR(IF(I61="ND","ND",baoliuxiaoshuwei(((I61-基础页!$B$22)*基础页!$B$15)/E61,1)),"")</f>
        <v/>
      </c>
    </row>
    <row r="62" ht="20.25" customHeight="1" spans="8:10">
      <c r="H62" s="5" t="str">
        <f t="shared" si="0"/>
        <v/>
      </c>
      <c r="J62" s="5" t="str">
        <f>IFERROR(IF(I62="ND","ND",baoliuxiaoshuwei(((I62-基础页!$B$22)*基础页!$B$15)/E62,1)),"")</f>
        <v/>
      </c>
    </row>
    <row r="63" ht="20.25" customHeight="1" spans="8:10">
      <c r="H63" s="5" t="str">
        <f t="shared" si="0"/>
        <v/>
      </c>
      <c r="J63" s="5" t="str">
        <f>IFERROR(IF(I63="ND","ND",baoliuxiaoshuwei(((I63-基础页!$B$22)*基础页!$B$15)/E63,1)),"")</f>
        <v/>
      </c>
    </row>
    <row r="64" ht="20.25" customHeight="1" spans="8:10">
      <c r="H64" s="5" t="str">
        <f t="shared" si="0"/>
        <v/>
      </c>
      <c r="J64" s="5" t="str">
        <f>IFERROR(IF(I64="ND","ND",baoliuxiaoshuwei(((I64-基础页!$B$22)*基础页!$B$15)/E64,1)),"")</f>
        <v/>
      </c>
    </row>
    <row r="65" ht="20.25" customHeight="1" spans="8:10">
      <c r="H65" s="5" t="str">
        <f t="shared" si="0"/>
        <v/>
      </c>
      <c r="J65" s="5" t="str">
        <f>IFERROR(IF(I65="ND","ND",baoliuxiaoshuwei(((I65-基础页!$B$22)*基础页!$B$15)/E65,1)),"")</f>
        <v/>
      </c>
    </row>
    <row r="66" ht="20.25" customHeight="1" spans="8:10">
      <c r="H66" s="5" t="str">
        <f t="shared" si="0"/>
        <v/>
      </c>
      <c r="J66" s="5" t="str">
        <f>IFERROR(IF(I66="ND","ND",baoliuxiaoshuwei(((I66-基础页!$B$22)*基础页!$B$15)/E66,1)),"")</f>
        <v/>
      </c>
    </row>
    <row r="67" ht="20.25" customHeight="1" spans="8:10">
      <c r="H67" s="5" t="str">
        <f t="shared" si="0"/>
        <v/>
      </c>
      <c r="J67" s="5" t="str">
        <f>IFERROR(IF(I67="ND","ND",baoliuxiaoshuwei(((I67-基础页!$B$22)*基础页!$B$15)/E67,1)),"")</f>
        <v/>
      </c>
    </row>
    <row r="68" ht="20.25" customHeight="1" spans="8:10">
      <c r="H68" s="5" t="str">
        <f t="shared" si="0"/>
        <v/>
      </c>
      <c r="J68" s="5" t="str">
        <f>IFERROR(IF(I68="ND","ND",baoliuxiaoshuwei(((I68-基础页!$B$22)*基础页!$B$15)/E68,1)),"")</f>
        <v/>
      </c>
    </row>
    <row r="69" ht="20.25" customHeight="1" spans="8:10">
      <c r="H69" s="5" t="str">
        <f t="shared" si="0"/>
        <v/>
      </c>
      <c r="J69" s="5" t="str">
        <f>IFERROR(IF(I69="ND","ND",baoliuxiaoshuwei(((I69-基础页!$B$22)*基础页!$B$15)/E69,1)),"")</f>
        <v/>
      </c>
    </row>
    <row r="70" ht="20.25" customHeight="1" spans="8:10">
      <c r="H70" s="5" t="str">
        <f t="shared" ref="H70:H131" si="1">IFERROR(IF(ISBLANK(I70),"",IF(J70="ND","否","是")),"")</f>
        <v/>
      </c>
      <c r="J70" s="5" t="str">
        <f>IFERROR(IF(I70="ND","ND",baoliuxiaoshuwei(((I70-基础页!$B$22)*基础页!$B$15)/E70,1)),"")</f>
        <v/>
      </c>
    </row>
    <row r="71" ht="20.25" customHeight="1" spans="8:10">
      <c r="H71" s="5" t="str">
        <f t="shared" si="1"/>
        <v/>
      </c>
      <c r="J71" s="5" t="str">
        <f>IFERROR(IF(I71="ND","ND",baoliuxiaoshuwei(((I71-基础页!$B$22)*基础页!$B$15)/E71,1)),"")</f>
        <v/>
      </c>
    </row>
    <row r="72" ht="20.25" customHeight="1" spans="8:10">
      <c r="H72" s="5" t="str">
        <f t="shared" si="1"/>
        <v/>
      </c>
      <c r="J72" s="5" t="str">
        <f>IFERROR(IF(I72="ND","ND",baoliuxiaoshuwei(((I72-基础页!$B$22)*基础页!$B$15)/E72,1)),"")</f>
        <v/>
      </c>
    </row>
    <row r="73" ht="20.25" customHeight="1" spans="8:10">
      <c r="H73" s="5" t="str">
        <f t="shared" si="1"/>
        <v/>
      </c>
      <c r="J73" s="5" t="str">
        <f>IFERROR(IF(I73="ND","ND",baoliuxiaoshuwei(((I73-基础页!$B$22)*基础页!$B$15)/E73,1)),"")</f>
        <v/>
      </c>
    </row>
    <row r="74" ht="20.25" customHeight="1" spans="8:10">
      <c r="H74" s="5" t="str">
        <f t="shared" si="1"/>
        <v/>
      </c>
      <c r="J74" s="5" t="str">
        <f>IFERROR(IF(I74="ND","ND",baoliuxiaoshuwei(((I74-基础页!$B$22)*基础页!$B$15)/E74,1)),"")</f>
        <v/>
      </c>
    </row>
    <row r="75" ht="20.25" customHeight="1" spans="8:10">
      <c r="H75" s="5" t="str">
        <f t="shared" si="1"/>
        <v/>
      </c>
      <c r="J75" s="5" t="str">
        <f>IFERROR(IF(I75="ND","ND",baoliuxiaoshuwei(((I75-基础页!$B$22)*基础页!$B$15)/E75,1)),"")</f>
        <v/>
      </c>
    </row>
    <row r="76" ht="20.25" customHeight="1" spans="8:10">
      <c r="H76" s="5" t="str">
        <f t="shared" si="1"/>
        <v/>
      </c>
      <c r="J76" s="5" t="str">
        <f>IFERROR(IF(I76="ND","ND",baoliuxiaoshuwei(((I76-基础页!$B$22)*基础页!$B$15)/E76,1)),"")</f>
        <v/>
      </c>
    </row>
    <row r="77" ht="20.25" customHeight="1" spans="8:10">
      <c r="H77" s="5" t="str">
        <f t="shared" si="1"/>
        <v/>
      </c>
      <c r="J77" s="5" t="str">
        <f>IFERROR(IF(I77="ND","ND",baoliuxiaoshuwei(((I77-基础页!$B$22)*基础页!$B$15)/E77,1)),"")</f>
        <v/>
      </c>
    </row>
    <row r="78" ht="20.25" customHeight="1" spans="8:10">
      <c r="H78" s="5" t="str">
        <f t="shared" si="1"/>
        <v/>
      </c>
      <c r="J78" s="5" t="str">
        <f>IFERROR(IF(I78="ND","ND",baoliuxiaoshuwei(((I78-基础页!$B$22)*基础页!$B$15)/E78,1)),"")</f>
        <v/>
      </c>
    </row>
    <row r="79" ht="20.25" customHeight="1" spans="8:10">
      <c r="H79" s="5" t="str">
        <f t="shared" si="1"/>
        <v/>
      </c>
      <c r="J79" s="5" t="str">
        <f>IFERROR(IF(I79="ND","ND",baoliuxiaoshuwei(((I79-基础页!$B$22)*基础页!$B$15)/E79,1)),"")</f>
        <v/>
      </c>
    </row>
    <row r="80" ht="20.25" customHeight="1" spans="8:10">
      <c r="H80" s="5" t="str">
        <f t="shared" si="1"/>
        <v/>
      </c>
      <c r="J80" s="5" t="str">
        <f>IFERROR(IF(I80="ND","ND",baoliuxiaoshuwei(((I80-基础页!$B$22)*基础页!$B$15)/E80,1)),"")</f>
        <v/>
      </c>
    </row>
    <row r="81" ht="20.25" customHeight="1" spans="8:10">
      <c r="H81" s="5" t="str">
        <f t="shared" si="1"/>
        <v/>
      </c>
      <c r="J81" s="5" t="str">
        <f>IFERROR(IF(I81="ND","ND",baoliuxiaoshuwei(((I81-基础页!$B$22)*基础页!$B$15)/E81,1)),"")</f>
        <v/>
      </c>
    </row>
    <row r="82" ht="20.25" customHeight="1" spans="8:10">
      <c r="H82" s="5" t="str">
        <f t="shared" si="1"/>
        <v/>
      </c>
      <c r="J82" s="5" t="str">
        <f>IFERROR(IF(I82="ND","ND",baoliuxiaoshuwei(((I82-基础页!$B$22)*基础页!$B$15)/E82,1)),"")</f>
        <v/>
      </c>
    </row>
    <row r="83" ht="20.25" customHeight="1" spans="8:10">
      <c r="H83" s="5" t="str">
        <f t="shared" si="1"/>
        <v/>
      </c>
      <c r="J83" s="5" t="str">
        <f>IFERROR(IF(I83="ND","ND",baoliuxiaoshuwei(((I83-基础页!$B$22)*基础页!$B$15)/E83,1)),"")</f>
        <v/>
      </c>
    </row>
    <row r="84" ht="20.25" customHeight="1" spans="8:10">
      <c r="H84" s="5" t="str">
        <f t="shared" si="1"/>
        <v/>
      </c>
      <c r="J84" s="5" t="str">
        <f>IFERROR(IF(I84="ND","ND",baoliuxiaoshuwei(((I84-基础页!$B$22)*基础页!$B$15)/E84,1)),"")</f>
        <v/>
      </c>
    </row>
    <row r="85" ht="20.25" customHeight="1" spans="8:10">
      <c r="H85" s="5" t="str">
        <f t="shared" si="1"/>
        <v/>
      </c>
      <c r="J85" s="5" t="str">
        <f>IFERROR(IF(I85="ND","ND",baoliuxiaoshuwei(((I85-基础页!$B$22)*基础页!$B$15)/E85,1)),"")</f>
        <v/>
      </c>
    </row>
    <row r="86" ht="20.25" customHeight="1" spans="8:10">
      <c r="H86" s="5" t="str">
        <f t="shared" si="1"/>
        <v/>
      </c>
      <c r="J86" s="5" t="str">
        <f>IFERROR(IF(I86="ND","ND",baoliuxiaoshuwei(((I86-基础页!$B$22)*基础页!$B$15)/E86,1)),"")</f>
        <v/>
      </c>
    </row>
    <row r="87" ht="20.25" customHeight="1" spans="8:10">
      <c r="H87" s="5" t="str">
        <f t="shared" si="1"/>
        <v/>
      </c>
      <c r="J87" s="5" t="str">
        <f>IFERROR(IF(I87="ND","ND",baoliuxiaoshuwei(((I87-基础页!$B$22)*基础页!$B$15)/E87,1)),"")</f>
        <v/>
      </c>
    </row>
    <row r="88" ht="20.25" customHeight="1" spans="8:10">
      <c r="H88" s="5" t="str">
        <f t="shared" si="1"/>
        <v/>
      </c>
      <c r="J88" s="5" t="str">
        <f>IFERROR(IF(I88="ND","ND",baoliuxiaoshuwei(((I88-基础页!$B$22)*基础页!$B$15)/E88,1)),"")</f>
        <v/>
      </c>
    </row>
    <row r="89" ht="20.25" customHeight="1" spans="8:10">
      <c r="H89" s="5" t="str">
        <f t="shared" si="1"/>
        <v/>
      </c>
      <c r="J89" s="5" t="str">
        <f>IFERROR(IF(I89="ND","ND",baoliuxiaoshuwei(((I89-基础页!$B$22)*基础页!$B$15)/E89,1)),"")</f>
        <v/>
      </c>
    </row>
    <row r="90" ht="20.25" customHeight="1" spans="8:10">
      <c r="H90" s="5" t="str">
        <f t="shared" si="1"/>
        <v/>
      </c>
      <c r="J90" s="5" t="str">
        <f>IFERROR(IF(I90="ND","ND",baoliuxiaoshuwei(((I90-基础页!$B$22)*基础页!$B$15)/E90,1)),"")</f>
        <v/>
      </c>
    </row>
    <row r="91" ht="20.25" customHeight="1" spans="8:10">
      <c r="H91" s="5" t="str">
        <f t="shared" si="1"/>
        <v/>
      </c>
      <c r="J91" s="5" t="str">
        <f>IFERROR(IF(I91="ND","ND",baoliuxiaoshuwei(((I91-基础页!$B$22)*基础页!$B$15)/E91,1)),"")</f>
        <v/>
      </c>
    </row>
    <row r="92" ht="20.25" customHeight="1" spans="8:10">
      <c r="H92" s="5" t="str">
        <f t="shared" si="1"/>
        <v/>
      </c>
      <c r="J92" s="5" t="str">
        <f>IFERROR(IF(I92="ND","ND",baoliuxiaoshuwei(((I92-基础页!$B$22)*基础页!$B$15)/E92,1)),"")</f>
        <v/>
      </c>
    </row>
    <row r="93" ht="20.25" customHeight="1" spans="8:10">
      <c r="H93" s="5" t="str">
        <f t="shared" si="1"/>
        <v/>
      </c>
      <c r="J93" s="5" t="str">
        <f>IFERROR(IF(I93="ND","ND",baoliuxiaoshuwei(((I93-基础页!$B$22)*基础页!$B$15)/E93,1)),"")</f>
        <v/>
      </c>
    </row>
    <row r="94" ht="20.25" customHeight="1" spans="8:10">
      <c r="H94" s="5" t="str">
        <f t="shared" si="1"/>
        <v/>
      </c>
      <c r="J94" s="5" t="str">
        <f>IFERROR(IF(I94="ND","ND",baoliuxiaoshuwei(((I94-基础页!$B$22)*基础页!$B$15)/E94,1)),"")</f>
        <v/>
      </c>
    </row>
    <row r="95" ht="20.25" customHeight="1" spans="8:10">
      <c r="H95" s="5" t="str">
        <f t="shared" si="1"/>
        <v/>
      </c>
      <c r="J95" s="5" t="str">
        <f>IFERROR(IF(I95="ND","ND",baoliuxiaoshuwei(((I95-基础页!$B$22)*基础页!$B$15)/E95,1)),"")</f>
        <v/>
      </c>
    </row>
    <row r="96" ht="20.25" customHeight="1" spans="8:10">
      <c r="H96" s="5" t="str">
        <f t="shared" si="1"/>
        <v/>
      </c>
      <c r="J96" s="5" t="str">
        <f>IFERROR(IF(I96="ND","ND",baoliuxiaoshuwei(((I96-基础页!$B$22)*基础页!$B$15)/E96,1)),"")</f>
        <v/>
      </c>
    </row>
    <row r="97" ht="20.25" customHeight="1" spans="8:10">
      <c r="H97" s="5" t="str">
        <f t="shared" si="1"/>
        <v/>
      </c>
      <c r="J97" s="5" t="str">
        <f>IFERROR(IF(I97="ND","ND",baoliuxiaoshuwei(((I97-基础页!$B$22)*基础页!$B$15)/E97,1)),"")</f>
        <v/>
      </c>
    </row>
    <row r="98" ht="20.25" customHeight="1" spans="8:10">
      <c r="H98" s="5" t="str">
        <f t="shared" si="1"/>
        <v/>
      </c>
      <c r="J98" s="5" t="str">
        <f>IFERROR(IF(I98="ND","ND",baoliuxiaoshuwei(((I98-基础页!$B$22)*基础页!$B$15)/E98,1)),"")</f>
        <v/>
      </c>
    </row>
    <row r="99" ht="20.25" customHeight="1" spans="8:10">
      <c r="H99" s="5" t="str">
        <f t="shared" si="1"/>
        <v/>
      </c>
      <c r="J99" s="5" t="str">
        <f>IFERROR(IF(I99="ND","ND",baoliuxiaoshuwei(((I99-基础页!$B$22)*基础页!$B$15)/E99,1)),"")</f>
        <v/>
      </c>
    </row>
    <row r="100" ht="20.25" customHeight="1" spans="8:10">
      <c r="H100" s="5" t="str">
        <f t="shared" si="1"/>
        <v/>
      </c>
      <c r="J100" s="5" t="str">
        <f>IFERROR(IF(I100="ND","ND",baoliuxiaoshuwei(((I100-基础页!$B$22)*基础页!$B$15)/E100,1)),"")</f>
        <v/>
      </c>
    </row>
    <row r="101" ht="20.25" customHeight="1" spans="8:10">
      <c r="H101" s="5" t="str">
        <f t="shared" si="1"/>
        <v/>
      </c>
      <c r="J101" s="5" t="str">
        <f>IFERROR(IF(I101="ND","ND",baoliuxiaoshuwei(((I101-基础页!$B$22)*基础页!$B$15)/E101,1)),"")</f>
        <v/>
      </c>
    </row>
    <row r="102" ht="20.25" customHeight="1" spans="8:10">
      <c r="H102" s="5" t="str">
        <f t="shared" si="1"/>
        <v/>
      </c>
      <c r="J102" s="5" t="str">
        <f>IFERROR(IF(I102="ND","ND",baoliuxiaoshuwei(((I102-基础页!$B$22)*基础页!$B$15)/E102,1)),"")</f>
        <v/>
      </c>
    </row>
    <row r="103" ht="20.25" customHeight="1" spans="8:10">
      <c r="H103" s="5" t="str">
        <f t="shared" si="1"/>
        <v/>
      </c>
      <c r="J103" s="5" t="str">
        <f>IFERROR(IF(I103="ND","ND",baoliuxiaoshuwei(((I103-基础页!$B$22)*基础页!$B$15)/E103,1)),"")</f>
        <v/>
      </c>
    </row>
    <row r="104" ht="20.25" customHeight="1" spans="8:10">
      <c r="H104" s="5" t="str">
        <f t="shared" si="1"/>
        <v/>
      </c>
      <c r="J104" s="5" t="str">
        <f>IFERROR(IF(I104="ND","ND",baoliuxiaoshuwei(((I104-基础页!$B$22)*基础页!$B$15)/E104,1)),"")</f>
        <v/>
      </c>
    </row>
    <row r="105" ht="20.25" customHeight="1" spans="8:10">
      <c r="H105" s="5" t="str">
        <f t="shared" si="1"/>
        <v/>
      </c>
      <c r="J105" s="5" t="str">
        <f>IFERROR(IF(I105="ND","ND",baoliuxiaoshuwei(((I105-基础页!$B$22)*基础页!$B$15)/E105,1)),"")</f>
        <v/>
      </c>
    </row>
    <row r="106" ht="20.25" customHeight="1" spans="8:10">
      <c r="H106" s="5" t="str">
        <f t="shared" si="1"/>
        <v/>
      </c>
      <c r="J106" s="5" t="str">
        <f>IFERROR(IF(I106="ND","ND",baoliuxiaoshuwei(((I106-基础页!$B$22)*基础页!$B$15)/E106,1)),"")</f>
        <v/>
      </c>
    </row>
    <row r="107" ht="20.25" customHeight="1" spans="8:10">
      <c r="H107" s="5" t="str">
        <f t="shared" si="1"/>
        <v/>
      </c>
      <c r="J107" s="5" t="str">
        <f>IFERROR(IF(I107="ND","ND",baoliuxiaoshuwei(((I107-基础页!$B$22)*基础页!$B$15)/E107,1)),"")</f>
        <v/>
      </c>
    </row>
    <row r="108" ht="20.25" customHeight="1" spans="8:10">
      <c r="H108" s="5" t="str">
        <f t="shared" si="1"/>
        <v/>
      </c>
      <c r="J108" s="5" t="str">
        <f>IFERROR(IF(I108="ND","ND",baoliuxiaoshuwei(((I108-基础页!$B$22)*基础页!$B$15)/E108,1)),"")</f>
        <v/>
      </c>
    </row>
    <row r="109" ht="20.25" customHeight="1" spans="8:10">
      <c r="H109" s="5" t="str">
        <f t="shared" si="1"/>
        <v/>
      </c>
      <c r="J109" s="5" t="str">
        <f>IFERROR(IF(I109="ND","ND",baoliuxiaoshuwei(((I109-基础页!$B$22)*基础页!$B$15)/E109,1)),"")</f>
        <v/>
      </c>
    </row>
    <row r="110" ht="20.25" customHeight="1" spans="8:10">
      <c r="H110" s="5" t="str">
        <f t="shared" si="1"/>
        <v/>
      </c>
      <c r="J110" s="5" t="str">
        <f>IFERROR(IF(I110="ND","ND",baoliuxiaoshuwei(((I110-基础页!$B$22)*基础页!$B$15)/E110,1)),"")</f>
        <v/>
      </c>
    </row>
    <row r="111" ht="20.25" customHeight="1" spans="8:10">
      <c r="H111" s="5" t="str">
        <f t="shared" si="1"/>
        <v/>
      </c>
      <c r="J111" s="5" t="str">
        <f>IFERROR(IF(I111="ND","ND",baoliuxiaoshuwei(((I111-基础页!$B$22)*基础页!$B$15)/E111,1)),"")</f>
        <v/>
      </c>
    </row>
    <row r="112" ht="20.25" customHeight="1" spans="8:10">
      <c r="H112" s="5" t="str">
        <f t="shared" si="1"/>
        <v/>
      </c>
      <c r="J112" s="5" t="str">
        <f>IFERROR(IF(I112="ND","ND",baoliuxiaoshuwei(((I112-基础页!$B$22)*基础页!$B$15)/E112,1)),"")</f>
        <v/>
      </c>
    </row>
    <row r="113" ht="20.25" customHeight="1" spans="8:10">
      <c r="H113" s="5" t="str">
        <f t="shared" si="1"/>
        <v/>
      </c>
      <c r="J113" s="5" t="str">
        <f>IFERROR(IF(I113="ND","ND",baoliuxiaoshuwei(((I113-基础页!$B$22)*基础页!$B$15)/E113,1)),"")</f>
        <v/>
      </c>
    </row>
    <row r="114" ht="20.25" customHeight="1" spans="8:10">
      <c r="H114" s="5" t="str">
        <f t="shared" si="1"/>
        <v/>
      </c>
      <c r="J114" s="5" t="str">
        <f>IFERROR(IF(I114="ND","ND",baoliuxiaoshuwei(((I114-基础页!$B$22)*基础页!$B$15)/E114,1)),"")</f>
        <v/>
      </c>
    </row>
    <row r="115" ht="20.25" customHeight="1" spans="8:10">
      <c r="H115" s="5" t="str">
        <f t="shared" si="1"/>
        <v/>
      </c>
      <c r="J115" s="5" t="str">
        <f>IFERROR(IF(I115="ND","ND",baoliuxiaoshuwei(((I115-基础页!$B$22)*基础页!$B$15)/E115,1)),"")</f>
        <v/>
      </c>
    </row>
    <row r="116" ht="20.25" customHeight="1" spans="8:10">
      <c r="H116" s="5" t="str">
        <f t="shared" si="1"/>
        <v/>
      </c>
      <c r="J116" s="5" t="str">
        <f>IFERROR(IF(I116="ND","ND",baoliuxiaoshuwei(((I116-基础页!$B$22)*基础页!$B$15)/E116,1)),"")</f>
        <v/>
      </c>
    </row>
    <row r="117" ht="20.25" customHeight="1" spans="8:10">
      <c r="H117" s="5" t="str">
        <f t="shared" si="1"/>
        <v/>
      </c>
      <c r="J117" s="5" t="str">
        <f>IFERROR(IF(I117="ND","ND",baoliuxiaoshuwei(((I117-基础页!$B$22)*基础页!$B$15)/E117,1)),"")</f>
        <v/>
      </c>
    </row>
    <row r="118" ht="20.25" customHeight="1" spans="8:10">
      <c r="H118" s="5" t="str">
        <f t="shared" si="1"/>
        <v/>
      </c>
      <c r="J118" s="5" t="str">
        <f>IFERROR(IF(I118="ND","ND",baoliuxiaoshuwei(((I118-基础页!$B$22)*基础页!$B$15)/E118,1)),"")</f>
        <v/>
      </c>
    </row>
    <row r="119" ht="20.25" customHeight="1" spans="8:10">
      <c r="H119" s="5" t="str">
        <f t="shared" si="1"/>
        <v/>
      </c>
      <c r="J119" s="5" t="str">
        <f>IFERROR(IF(I119="ND","ND",baoliuxiaoshuwei(((I119-基础页!$B$22)*基础页!$B$15)/E119,1)),"")</f>
        <v/>
      </c>
    </row>
    <row r="120" ht="20.25" customHeight="1" spans="8:10">
      <c r="H120" s="5" t="str">
        <f t="shared" si="1"/>
        <v/>
      </c>
      <c r="J120" s="5" t="str">
        <f>IFERROR(IF(I120="ND","ND",baoliuxiaoshuwei(((I120-基础页!$B$22)*基础页!$B$15)/E120,1)),"")</f>
        <v/>
      </c>
    </row>
    <row r="121" ht="20.25" customHeight="1" spans="8:10">
      <c r="H121" s="5" t="str">
        <f t="shared" si="1"/>
        <v/>
      </c>
      <c r="J121" s="5" t="str">
        <f>IFERROR(IF(I121="ND","ND",baoliuxiaoshuwei(((I121-基础页!$B$22)*基础页!$B$15)/E121,1)),"")</f>
        <v/>
      </c>
    </row>
    <row r="122" ht="20.25" customHeight="1" spans="8:10">
      <c r="H122" s="5" t="str">
        <f t="shared" si="1"/>
        <v/>
      </c>
      <c r="J122" s="5" t="str">
        <f>IFERROR(IF(I122="ND","ND",baoliuxiaoshuwei(((I122-基础页!$B$22)*基础页!$B$15)/E122,1)),"")</f>
        <v/>
      </c>
    </row>
    <row r="123" ht="20.25" customHeight="1" spans="8:10">
      <c r="H123" s="5" t="str">
        <f t="shared" si="1"/>
        <v/>
      </c>
      <c r="J123" s="5" t="str">
        <f>IFERROR(IF(I123="ND","ND",baoliuxiaoshuwei(((I123-基础页!$B$22)*基础页!$B$15)/E123,1)),"")</f>
        <v/>
      </c>
    </row>
    <row r="124" ht="20.25" customHeight="1" spans="8:10">
      <c r="H124" s="5" t="str">
        <f t="shared" si="1"/>
        <v/>
      </c>
      <c r="J124" s="5" t="str">
        <f>IFERROR(IF(I124="ND","ND",baoliuxiaoshuwei(((I124-基础页!$B$22)*基础页!$B$15)/E124,1)),"")</f>
        <v/>
      </c>
    </row>
    <row r="125" ht="20.25" customHeight="1" spans="8:10">
      <c r="H125" s="5" t="str">
        <f t="shared" si="1"/>
        <v/>
      </c>
      <c r="J125" s="5" t="str">
        <f>IFERROR(IF(I125="ND","ND",baoliuxiaoshuwei(((I125-基础页!$B$22)*基础页!$B$15)/E125,1)),"")</f>
        <v/>
      </c>
    </row>
    <row r="126" ht="20.25" customHeight="1" spans="8:10">
      <c r="H126" s="5" t="str">
        <f t="shared" si="1"/>
        <v/>
      </c>
      <c r="J126" s="5" t="str">
        <f>IFERROR(IF(I126="ND","ND",baoliuxiaoshuwei(((I126-基础页!$B$22)*基础页!$B$15)/E126,1)),"")</f>
        <v/>
      </c>
    </row>
    <row r="127" ht="20.25" customHeight="1" spans="8:10">
      <c r="H127" s="5" t="str">
        <f t="shared" si="1"/>
        <v/>
      </c>
      <c r="J127" s="5" t="str">
        <f>IFERROR(IF(I127="ND","ND",baoliuxiaoshuwei(((I127-基础页!$B$22)*基础页!$B$15)/E127,1)),"")</f>
        <v/>
      </c>
    </row>
    <row r="128" ht="20.25" customHeight="1" spans="8:10">
      <c r="H128" s="5" t="str">
        <f t="shared" si="1"/>
        <v/>
      </c>
      <c r="J128" s="5" t="str">
        <f>IFERROR(IF(I128="ND","ND",baoliuxiaoshuwei(((I128-基础页!$B$22)*基础页!$B$15)/E128,1)),"")</f>
        <v/>
      </c>
    </row>
    <row r="129" ht="20.25" customHeight="1" spans="8:10">
      <c r="H129" s="5" t="str">
        <f t="shared" si="1"/>
        <v/>
      </c>
      <c r="J129" s="5" t="str">
        <f>IFERROR(IF(I129="ND","ND",baoliuxiaoshuwei(((I129-基础页!$B$22)*基础页!$B$15)/E129,1)),"")</f>
        <v/>
      </c>
    </row>
    <row r="130" ht="20.25" customHeight="1" spans="8:10">
      <c r="H130" s="5" t="str">
        <f t="shared" si="1"/>
        <v/>
      </c>
      <c r="J130" s="5" t="str">
        <f>IFERROR(IF(I130="ND","ND",baoliuxiaoshuwei(((I130-基础页!$B$22)*基础页!$B$15)/E130,1)),"")</f>
        <v/>
      </c>
    </row>
    <row r="131" ht="20.25" customHeight="1" spans="8:10">
      <c r="H131" s="5" t="str">
        <f t="shared" si="1"/>
        <v/>
      </c>
      <c r="J131" s="5" t="str">
        <f>IFERROR(IF(I131="ND","ND",baoliuxiaoshuwei(((I131-基础页!$B$22)*基础页!$B$15)/E131,1)),"")</f>
        <v/>
      </c>
    </row>
    <row r="132" ht="20.25" customHeight="1" spans="10:10">
      <c r="J132" s="5" t="str">
        <f>IFERROR(IF(I132="ND","ND",baoliuxiaoshuwei(((I132-基础页!$B$22)*基础页!$B$15)/E132,1)),"")</f>
        <v/>
      </c>
    </row>
    <row r="133" ht="20.25" customHeight="1" spans="10:10">
      <c r="J133" s="5" t="str">
        <f>IFERROR(IF(I133="ND","ND",baoliuxiaoshuwei(((I133-基础页!$B$22)*基础页!$B$15)/E133,1)),"")</f>
        <v/>
      </c>
    </row>
    <row r="134" ht="20.25" customHeight="1" spans="10:10">
      <c r="J134" s="5" t="str">
        <f>IFERROR(IF(I134="ND","ND",baoliuxiaoshuwei(((I134-基础页!$B$22)*基础页!$B$15)/E134,1)),"")</f>
        <v/>
      </c>
    </row>
    <row r="135" ht="20.25" customHeight="1" spans="10:10">
      <c r="J135" s="5" t="str">
        <f>IFERROR(IF(I135="ND","ND",baoliuxiaoshuwei(((I135-基础页!$B$22)*基础页!$B$15)/E135,1)),"")</f>
        <v/>
      </c>
    </row>
    <row r="136" ht="20.25" customHeight="1" spans="10:10">
      <c r="J136" s="5" t="str">
        <f>IFERROR(IF(I136="ND","ND",baoliuxiaoshuwei(((I136-基础页!$B$22)*基础页!$B$15)/E136,1)),"")</f>
        <v/>
      </c>
    </row>
    <row r="137" ht="20.25" customHeight="1" spans="10:10">
      <c r="J137" s="5" t="str">
        <f>IFERROR(IF(I137="ND","ND",baoliuxiaoshuwei(((I137-基础页!$B$22)*基础页!$B$15)/E137,1)),"")</f>
        <v/>
      </c>
    </row>
    <row r="138" ht="20.25" customHeight="1" spans="10:10">
      <c r="J138" s="5" t="str">
        <f>IFERROR(IF(I138="ND","ND",baoliuxiaoshuwei(((I138-基础页!$B$22)*基础页!$B$15)/E138,1)),"")</f>
        <v/>
      </c>
    </row>
    <row r="139" ht="20.25" customHeight="1" spans="10:10">
      <c r="J139" s="5" t="str">
        <f>IFERROR(IF(I139="ND","ND",baoliuxiaoshuwei(((I139-基础页!$B$22)*基础页!$B$15)/E139,1)),"")</f>
        <v/>
      </c>
    </row>
    <row r="140" ht="20.25" customHeight="1" spans="10:10">
      <c r="J140" s="5" t="str">
        <f>IFERROR(IF(I140="ND","ND",baoliuxiaoshuwei(((I140-基础页!$B$22)*基础页!$B$15)/E140,1)),"")</f>
        <v/>
      </c>
    </row>
    <row r="141" ht="20.25" customHeight="1" spans="10:10">
      <c r="J141" s="5" t="str">
        <f>IFERROR(IF(I141="ND","ND",baoliuxiaoshuwei(((I141-基础页!$B$22)*基础页!$B$15)/E141,1)),"")</f>
        <v/>
      </c>
    </row>
    <row r="142" ht="20.25" customHeight="1" spans="10:10">
      <c r="J142" s="5" t="str">
        <f>IFERROR(IF(I142="ND","ND",baoliuxiaoshuwei(((I142-基础页!$B$22)*基础页!$B$15)/E142,1)),"")</f>
        <v/>
      </c>
    </row>
    <row r="143" ht="20.25" customHeight="1" spans="10:10">
      <c r="J143" s="5" t="str">
        <f>IFERROR(IF(I143="ND","ND",baoliuxiaoshuwei(((I143-基础页!$B$22)*基础页!$B$15)/E143,1)),"")</f>
        <v/>
      </c>
    </row>
    <row r="144" ht="20.25" customHeight="1" spans="10:10">
      <c r="J144" s="5" t="str">
        <f>IFERROR(IF(I144="ND","ND",baoliuxiaoshuwei(((I144-基础页!$B$22)*基础页!$B$15)/E144,1)),"")</f>
        <v/>
      </c>
    </row>
    <row r="145" ht="20.25" customHeight="1" spans="10:10">
      <c r="J145" s="5" t="str">
        <f>IFERROR(IF(I145="ND","ND",baoliuxiaoshuwei(((I145-基础页!$B$22)*基础页!$B$15)/E145,1)),"")</f>
        <v/>
      </c>
    </row>
    <row r="146" ht="20.25" customHeight="1" spans="10:10">
      <c r="J146" s="5" t="str">
        <f>IFERROR(IF(I146="ND","ND",baoliuxiaoshuwei(((I146-基础页!$B$22)*基础页!$B$15)/E146,1)),"")</f>
        <v/>
      </c>
    </row>
    <row r="147" ht="20.25" customHeight="1" spans="10:10">
      <c r="J147" s="5" t="str">
        <f>IFERROR(IF(I147="ND","ND",baoliuxiaoshuwei(((I147-基础页!$B$22)*基础页!$B$15)/E147,1)),"")</f>
        <v/>
      </c>
    </row>
    <row r="148" ht="20.25" customHeight="1" spans="10:10">
      <c r="J148" s="5" t="str">
        <f>IFERROR(IF(I148="ND","ND",baoliuxiaoshuwei(((I148-基础页!$B$22)*基础页!$B$15)/E148,1)),"")</f>
        <v/>
      </c>
    </row>
    <row r="149" ht="20.25" customHeight="1" spans="10:10">
      <c r="J149" s="5" t="str">
        <f>IFERROR(IF(I149="ND","ND",baoliuxiaoshuwei(((I149-基础页!$B$22)*基础页!$B$15)/E149,1)),"")</f>
        <v/>
      </c>
    </row>
    <row r="150" ht="20.25" customHeight="1" spans="10:10">
      <c r="J150" s="5" t="str">
        <f>IFERROR(IF(I150="ND","ND",baoliuxiaoshuwei(((I150-基础页!$B$22)*基础页!$B$15)/E150,1)),"")</f>
        <v/>
      </c>
    </row>
    <row r="151" ht="20.25" customHeight="1" spans="10:10">
      <c r="J151" s="5" t="str">
        <f>IFERROR(IF(I151="ND","ND",baoliuxiaoshuwei(((I151-基础页!$B$22)*基础页!$B$15)/E151,1)),"")</f>
        <v/>
      </c>
    </row>
    <row r="152" ht="20.25" customHeight="1" spans="10:10">
      <c r="J152" s="5" t="str">
        <f>IFERROR(IF(I152="ND","ND",baoliuxiaoshuwei(((I152-基础页!$B$22)*基础页!$B$15)/E152,1)),"")</f>
        <v/>
      </c>
    </row>
    <row r="153" ht="20.25" customHeight="1" spans="10:10">
      <c r="J153" s="5" t="str">
        <f>IFERROR(IF(I153="ND","ND",baoliuxiaoshuwei(((I153-基础页!$B$22)*基础页!$B$15)/E153,1)),"")</f>
        <v/>
      </c>
    </row>
    <row r="154" ht="20.25" customHeight="1" spans="10:10">
      <c r="J154" s="5" t="str">
        <f>IFERROR(IF(I154="ND","ND",baoliuxiaoshuwei(((I154-基础页!$B$22)*基础页!$B$15)/E154,1)),"")</f>
        <v/>
      </c>
    </row>
    <row r="155" ht="20.25" customHeight="1" spans="10:10">
      <c r="J155" s="5" t="str">
        <f>IFERROR(IF(I155="ND","ND",baoliuxiaoshuwei(((I155-基础页!$B$22)*基础页!$B$15)/E155,1)),"")</f>
        <v/>
      </c>
    </row>
    <row r="156" ht="20.25" customHeight="1" spans="10:10">
      <c r="J156" s="5" t="str">
        <f>IFERROR(IF(I156="ND","ND",baoliuxiaoshuwei(((I156-基础页!$B$22)*基础页!$B$15)/E156,1)),"")</f>
        <v/>
      </c>
    </row>
    <row r="157" ht="20.25" customHeight="1" spans="10:10">
      <c r="J157" s="5" t="str">
        <f>IFERROR(IF(I157="ND","ND",baoliuxiaoshuwei(((I157-基础页!$B$22)*基础页!$B$15)/E157,1)),"")</f>
        <v/>
      </c>
    </row>
    <row r="158" ht="20.25" customHeight="1" spans="10:10">
      <c r="J158" s="5" t="str">
        <f>IFERROR(IF(I158="ND","ND",baoliuxiaoshuwei(((I158-基础页!$B$22)*基础页!$B$15)/E158,1)),"")</f>
        <v/>
      </c>
    </row>
    <row r="159" ht="20.25" customHeight="1" spans="10:10">
      <c r="J159" s="5" t="str">
        <f>IFERROR(IF(I159="ND","ND",baoliuxiaoshuwei(((I159-基础页!$B$22)*基础页!$B$15)/E159,1)),"")</f>
        <v/>
      </c>
    </row>
    <row r="160" ht="20.25" customHeight="1" spans="10:10">
      <c r="J160" s="5" t="str">
        <f>IFERROR(IF(I160="ND","ND",baoliuxiaoshuwei(((I160-基础页!$B$22)*基础页!$B$15)/E160,1)),"")</f>
        <v/>
      </c>
    </row>
    <row r="161" ht="20.25" customHeight="1" spans="10:10">
      <c r="J161" s="5" t="str">
        <f>IFERROR(IF(I161="ND","ND",baoliuxiaoshuwei(((I161-基础页!$B$22)*基础页!$B$15)/E161,1)),"")</f>
        <v/>
      </c>
    </row>
    <row r="162" ht="20.25" customHeight="1" spans="10:10">
      <c r="J162" s="5" t="str">
        <f>IFERROR(IF(I162="ND","ND",baoliuxiaoshuwei(((I162-基础页!$B$22)*基础页!$B$15)/E162,1)),"")</f>
        <v/>
      </c>
    </row>
    <row r="163" ht="20.25" customHeight="1" spans="10:10">
      <c r="J163" s="5" t="str">
        <f>IFERROR(IF(I163="ND","ND",baoliuxiaoshuwei(((I163-基础页!$B$22)*基础页!$B$15)/E163,1)),"")</f>
        <v/>
      </c>
    </row>
    <row r="164" ht="20.25" customHeight="1" spans="10:10">
      <c r="J164" s="5" t="str">
        <f>IFERROR(IF(I164="ND","ND",baoliuxiaoshuwei(((I164-基础页!$B$22)*基础页!$B$15)/E164,1)),"")</f>
        <v/>
      </c>
    </row>
    <row r="165" ht="20.25" customHeight="1" spans="10:10">
      <c r="J165" s="5" t="str">
        <f>IFERROR(IF(I165="ND","ND",baoliuxiaoshuwei(((I165-基础页!$B$22)*基础页!$B$15)/E165,1)),"")</f>
        <v/>
      </c>
    </row>
    <row r="166" ht="20.25" customHeight="1" spans="10:10">
      <c r="J166" s="5" t="str">
        <f>IFERROR(IF(I166="ND","ND",baoliuxiaoshuwei(((I166-基础页!$B$22)*基础页!$B$15)/E166,1)),"")</f>
        <v/>
      </c>
    </row>
    <row r="167" ht="20.25" customHeight="1" spans="10:10">
      <c r="J167" s="5" t="str">
        <f>IFERROR(IF(I167="ND","ND",baoliuxiaoshuwei(((I167-基础页!$B$22)*基础页!$B$15)/E167,1)),"")</f>
        <v/>
      </c>
    </row>
    <row r="168" ht="20.25" customHeight="1" spans="10:10">
      <c r="J168" s="5" t="str">
        <f>IFERROR(IF(I168="ND","ND",baoliuxiaoshuwei(((I168-基础页!$B$22)*基础页!$B$15)/E168,1)),"")</f>
        <v/>
      </c>
    </row>
    <row r="169" ht="20.25" customHeight="1" spans="10:10">
      <c r="J169" s="5" t="str">
        <f>IFERROR(IF(I169="ND","ND",baoliuxiaoshuwei(((I169-基础页!$B$22)*基础页!$B$15)/E169,1)),"")</f>
        <v/>
      </c>
    </row>
    <row r="170" ht="20.25" customHeight="1" spans="10:10">
      <c r="J170" s="5" t="str">
        <f>IFERROR(IF(I170="ND","ND",baoliuxiaoshuwei(((I170-基础页!$B$22)*基础页!$B$15)/E170,1)),"")</f>
        <v/>
      </c>
    </row>
    <row r="171" ht="20.25" customHeight="1" spans="10:10">
      <c r="J171" s="5" t="str">
        <f>IFERROR(IF(I171="ND","ND",baoliuxiaoshuwei(((I171-基础页!$B$22)*基础页!$B$15)/E171,1)),"")</f>
        <v/>
      </c>
    </row>
    <row r="172" ht="20.25" customHeight="1" spans="10:10">
      <c r="J172" s="5" t="str">
        <f>IFERROR(IF(I172="ND","ND",baoliuxiaoshuwei(((I172-基础页!$B$22)*基础页!$B$15)/E172,1)),"")</f>
        <v/>
      </c>
    </row>
    <row r="173" ht="20.25" customHeight="1" spans="10:10">
      <c r="J173" s="5" t="str">
        <f>IFERROR(IF(I173="ND","ND",baoliuxiaoshuwei(((I173-基础页!$B$22)*基础页!$B$15)/E173,1)),"")</f>
        <v/>
      </c>
    </row>
    <row r="174" ht="20.25" customHeight="1" spans="10:10">
      <c r="J174" s="5" t="str">
        <f>IFERROR(IF(I174="ND","ND",baoliuxiaoshuwei(((I174-基础页!$B$22)*基础页!$B$15)/E174,1)),"")</f>
        <v/>
      </c>
    </row>
    <row r="175" ht="20.25" customHeight="1" spans="10:10">
      <c r="J175" s="5" t="str">
        <f>IFERROR(IF(I175="ND","ND",baoliuxiaoshuwei(((I175-基础页!$B$22)*基础页!$B$15)/E175,1)),"")</f>
        <v/>
      </c>
    </row>
    <row r="176" ht="20.25" customHeight="1" spans="10:10">
      <c r="J176" s="5" t="str">
        <f>IFERROR(IF(I176="ND","ND",baoliuxiaoshuwei(((I176-基础页!$B$22)*基础页!$B$15)/E176,1)),"")</f>
        <v/>
      </c>
    </row>
    <row r="177" ht="20.25" customHeight="1" spans="10:10">
      <c r="J177" s="5" t="str">
        <f>IFERROR(IF(I177="ND","ND",baoliuxiaoshuwei(((I177-基础页!$B$22)*基础页!$B$15)/E177,1)),"")</f>
        <v/>
      </c>
    </row>
    <row r="178" ht="20.25" customHeight="1" spans="10:10">
      <c r="J178" s="5" t="str">
        <f>IFERROR(IF(I178="ND","ND",baoliuxiaoshuwei(((I178-基础页!$B$22)*基础页!$B$15)/E178,1)),"")</f>
        <v/>
      </c>
    </row>
    <row r="179" ht="20.25" customHeight="1" spans="10:10">
      <c r="J179" s="5" t="str">
        <f>IFERROR(IF(I179="ND","ND",baoliuxiaoshuwei(((I179-基础页!$B$22)*基础页!$B$15)/E179,1)),"")</f>
        <v/>
      </c>
    </row>
    <row r="180" ht="20.25" customHeight="1" spans="10:10">
      <c r="J180" s="5" t="str">
        <f>IFERROR(IF(I180="ND","ND",baoliuxiaoshuwei(((I180-基础页!$B$22)*基础页!$B$15)/E180,1)),"")</f>
        <v/>
      </c>
    </row>
    <row r="181" ht="20.25" customHeight="1" spans="10:10">
      <c r="J181" s="5" t="str">
        <f>IFERROR(IF(I181="ND","ND",baoliuxiaoshuwei(((I181-基础页!$B$22)*基础页!$B$15)/E181,1)),"")</f>
        <v/>
      </c>
    </row>
    <row r="182" ht="20.25" customHeight="1" spans="10:10">
      <c r="J182" s="5" t="str">
        <f>IFERROR(IF(I182="ND","ND",baoliuxiaoshuwei(((I182-基础页!$B$22)*基础页!$B$15)/E182,1)),"")</f>
        <v/>
      </c>
    </row>
    <row r="183" ht="20.25" customHeight="1" spans="10:10">
      <c r="J183" s="5" t="str">
        <f>IFERROR(IF(I183="ND","ND",baoliuxiaoshuwei(((I183-基础页!$B$22)*基础页!$B$15)/E183,1)),"")</f>
        <v/>
      </c>
    </row>
    <row r="184" ht="20.25" customHeight="1" spans="10:10">
      <c r="J184" s="5" t="str">
        <f>IFERROR(IF(I184="ND","ND",baoliuxiaoshuwei(((I184-基础页!$B$22)*基础页!$B$15)/E184,1)),"")</f>
        <v/>
      </c>
    </row>
    <row r="185" ht="20.25" customHeight="1" spans="10:10">
      <c r="J185" s="5" t="str">
        <f>IFERROR(IF(I185="ND","ND",baoliuxiaoshuwei(((I185-基础页!$B$22)*基础页!$B$15)/E185,1)),"")</f>
        <v/>
      </c>
    </row>
    <row r="186" ht="20.25" customHeight="1" spans="10:10">
      <c r="J186" s="5" t="str">
        <f>IFERROR(IF(I186="ND","ND",baoliuxiaoshuwei(((I186-基础页!$B$22)*基础页!$B$15)/E186,1)),"")</f>
        <v/>
      </c>
    </row>
    <row r="187" ht="20.25" customHeight="1" spans="10:10">
      <c r="J187" s="5" t="str">
        <f>IFERROR(IF(I187="ND","ND",baoliuxiaoshuwei(((I187-基础页!$B$22)*基础页!$B$15)/E187,1)),"")</f>
        <v/>
      </c>
    </row>
    <row r="188" ht="20.25" customHeight="1" spans="10:10">
      <c r="J188" s="5" t="str">
        <f>IFERROR(IF(I188="ND","ND",baoliuxiaoshuwei(((I188-基础页!$B$22)*基础页!$B$15)/E188,1)),"")</f>
        <v/>
      </c>
    </row>
    <row r="189" ht="20.25" customHeight="1" spans="10:10">
      <c r="J189" s="5" t="str">
        <f>IFERROR(IF(I189="ND","ND",baoliuxiaoshuwei(((I189-基础页!$B$22)*基础页!$B$15)/E189,1)),"")</f>
        <v/>
      </c>
    </row>
    <row r="190" ht="20.25" customHeight="1" spans="10:10">
      <c r="J190" s="5" t="str">
        <f>IFERROR(IF(I190="ND","ND",baoliuxiaoshuwei(((I190-基础页!$B$22)*基础页!$B$15)/E190,1)),"")</f>
        <v/>
      </c>
    </row>
    <row r="191" ht="20.25" customHeight="1" spans="10:10">
      <c r="J191" s="5" t="str">
        <f>IFERROR(IF(I191="ND","ND",baoliuxiaoshuwei(((I191-基础页!$B$22)*基础页!$B$15)/E191,1)),"")</f>
        <v/>
      </c>
    </row>
    <row r="192" ht="20.25" customHeight="1" spans="10:10">
      <c r="J192" s="5" t="str">
        <f>IFERROR(IF(I192="ND","ND",baoliuxiaoshuwei(((I192-基础页!$B$22)*基础页!$B$15)/E192,1)),"")</f>
        <v/>
      </c>
    </row>
    <row r="193" ht="20.25" customHeight="1" spans="10:10">
      <c r="J193" s="5" t="str">
        <f>IFERROR(IF(I193="ND","ND",baoliuxiaoshuwei(((I193-基础页!$B$22)*基础页!$B$15)/E193,1)),"")</f>
        <v/>
      </c>
    </row>
    <row r="194" ht="20.25" customHeight="1" spans="10:10">
      <c r="J194" s="5" t="str">
        <f>IFERROR(IF(I194="ND","ND",baoliuxiaoshuwei(((I194-基础页!$B$22)*基础页!$B$15)/E194,1)),"")</f>
        <v/>
      </c>
    </row>
    <row r="195" ht="20.25" customHeight="1" spans="10:10">
      <c r="J195" s="5" t="str">
        <f>IFERROR(IF(I195="ND","ND",baoliuxiaoshuwei(((I195-基础页!$B$22)*基础页!$B$15)/E195,1)),"")</f>
        <v/>
      </c>
    </row>
    <row r="196" ht="20.25" customHeight="1" spans="10:10">
      <c r="J196" s="5" t="str">
        <f>IFERROR(IF(I196="ND","ND",baoliuxiaoshuwei(((I196-基础页!$B$22)*基础页!$B$15)/E196,1)),"")</f>
        <v/>
      </c>
    </row>
    <row r="197" ht="20.25" customHeight="1"/>
    <row r="198" ht="20.25" customHeight="1"/>
    <row r="199" ht="20.25" customHeight="1"/>
    <row r="200" ht="20.25" customHeight="1"/>
    <row r="201" ht="20.25" customHeight="1"/>
    <row r="202" ht="20.25" customHeight="1"/>
    <row r="203" ht="20.25" customHeight="1"/>
    <row r="204" ht="20.25" customHeight="1"/>
    <row r="205" ht="20.25" customHeight="1"/>
    <row r="206" ht="20.25" customHeight="1"/>
    <row r="207" ht="20.25" customHeight="1"/>
    <row r="208" ht="20.25" customHeight="1"/>
    <row r="209" ht="20.25" customHeight="1"/>
    <row r="210" ht="20.25" customHeight="1"/>
    <row r="211" ht="20.25" customHeight="1"/>
    <row r="212" ht="20.25" customHeight="1"/>
    <row r="213" ht="20.25" customHeight="1"/>
    <row r="214" ht="20.25" customHeight="1"/>
    <row r="215" ht="20.25" customHeight="1"/>
    <row r="216" ht="20.25" customHeight="1"/>
    <row r="217" ht="20.25" customHeight="1"/>
    <row r="218" ht="20.25" customHeight="1"/>
    <row r="219" ht="20.25" customHeight="1"/>
    <row r="220" ht="20.25" customHeight="1"/>
    <row r="221" ht="20.25" customHeight="1"/>
    <row r="222" ht="20.25" customHeight="1"/>
    <row r="223" ht="20.25" customHeight="1"/>
    <row r="224" ht="20.25" customHeight="1"/>
    <row r="225" ht="20.25" customHeight="1"/>
    <row r="226" ht="20.25" customHeight="1"/>
    <row r="227" ht="20.25" customHeight="1"/>
    <row r="228" ht="20.25" customHeight="1"/>
    <row r="229" ht="20.25" customHeight="1"/>
    <row r="230" ht="20.25" customHeight="1"/>
    <row r="231" ht="20.25" customHeight="1"/>
    <row r="232" ht="20.25" customHeight="1"/>
    <row r="233" ht="20.25" customHeight="1"/>
    <row r="234" ht="20.25" customHeight="1"/>
    <row r="235" ht="20.25" customHeight="1"/>
    <row r="236" ht="20.25" customHeight="1"/>
    <row r="237" ht="20.25" customHeight="1"/>
    <row r="238" ht="20.25" customHeight="1"/>
    <row r="239" ht="20.25" customHeight="1"/>
    <row r="240" ht="20.25" customHeight="1"/>
    <row r="241" ht="20.25" customHeight="1"/>
    <row r="242" ht="20.25" customHeight="1"/>
    <row r="243" ht="20.25" customHeight="1"/>
    <row r="244" ht="20.25" customHeight="1"/>
    <row r="245" ht="20.25" customHeight="1"/>
    <row r="246" ht="20.25" customHeight="1"/>
    <row r="247" ht="20.25" customHeight="1"/>
    <row r="248" ht="20.25" customHeight="1"/>
    <row r="249" ht="20.25" customHeight="1"/>
    <row r="250" ht="20.25" customHeight="1"/>
    <row r="251" ht="20.25" customHeight="1"/>
    <row r="252" ht="20.25" customHeight="1"/>
    <row r="253" ht="20.25" customHeight="1"/>
    <row r="254" ht="20.25" customHeight="1"/>
    <row r="255" ht="20.25" customHeight="1"/>
    <row r="256" ht="20.25" customHeight="1"/>
    <row r="257" ht="20.25" customHeight="1"/>
    <row r="258" ht="20.25" customHeight="1"/>
    <row r="259" ht="20.25" customHeight="1"/>
    <row r="260" ht="20.25" customHeight="1"/>
    <row r="261" ht="20.25" customHeight="1"/>
    <row r="262" ht="20.25" customHeight="1"/>
    <row r="263" ht="20.25" customHeight="1"/>
    <row r="264" ht="20.25" customHeight="1"/>
    <row r="265" ht="20.25" customHeight="1"/>
    <row r="266" ht="20.25" customHeight="1"/>
    <row r="267" ht="20.25" customHeight="1"/>
    <row r="268" ht="20.25" customHeight="1"/>
    <row r="269" ht="20.25" customHeight="1"/>
    <row r="270" ht="20.25" customHeight="1"/>
    <row r="271" ht="20.25" customHeight="1"/>
    <row r="272" ht="20.25" customHeight="1"/>
    <row r="273" ht="20.25" customHeight="1"/>
    <row r="274" ht="20.25" customHeight="1"/>
    <row r="275" ht="20.25" customHeight="1"/>
    <row r="276" ht="20.25" customHeight="1"/>
    <row r="277" ht="20.25" customHeight="1"/>
    <row r="278" ht="20.25" customHeight="1"/>
    <row r="279" ht="20.25" customHeight="1"/>
    <row r="280" ht="20.25" customHeight="1"/>
    <row r="281" ht="20.25" customHeight="1"/>
    <row r="282" ht="20.25" customHeight="1"/>
    <row r="283" ht="20.25" customHeight="1"/>
    <row r="284" ht="20.25" customHeight="1"/>
    <row r="285" ht="20.25" customHeight="1"/>
    <row r="286" ht="20.25" customHeight="1"/>
    <row r="287" ht="20.25" customHeight="1"/>
    <row r="288" ht="20.25" customHeight="1"/>
    <row r="289" ht="20.25" customHeight="1"/>
    <row r="290" ht="20.25" customHeight="1"/>
    <row r="291" ht="20.25" customHeight="1"/>
    <row r="292" ht="20.25" customHeight="1"/>
    <row r="293" ht="20.25" customHeight="1"/>
    <row r="294" ht="20.25" customHeight="1"/>
    <row r="295" ht="20.25" customHeight="1"/>
    <row r="296" ht="20.25" customHeight="1"/>
    <row r="297" ht="20.25" customHeight="1"/>
    <row r="298" ht="20.25" customHeight="1"/>
    <row r="299" ht="20.25" customHeight="1"/>
    <row r="300" ht="20.25" customHeight="1"/>
    <row r="301" ht="20.25" customHeight="1"/>
    <row r="302" ht="20.25" customHeight="1"/>
    <row r="303" ht="20.25" customHeight="1"/>
    <row r="304" ht="20.25" customHeight="1"/>
    <row r="305" ht="20.25" customHeight="1"/>
    <row r="306" ht="20.25" customHeight="1"/>
    <row r="307" ht="20.25" customHeight="1"/>
    <row r="308" ht="20.25" customHeight="1"/>
    <row r="309" ht="20.25" customHeight="1"/>
    <row r="310" ht="20.25" customHeight="1"/>
    <row r="311" ht="20.25" customHeight="1"/>
    <row r="312" ht="20.25" customHeight="1"/>
    <row r="313" ht="20.25" customHeight="1"/>
    <row r="314" ht="20.25" customHeight="1"/>
    <row r="315" ht="20.25" customHeight="1"/>
    <row r="316" ht="20.25" customHeight="1"/>
    <row r="317" ht="20.25" customHeight="1"/>
    <row r="318" ht="20.25" customHeight="1"/>
    <row r="319" ht="20.25" customHeight="1"/>
    <row r="320" ht="20.25" customHeight="1"/>
    <row r="321" ht="20.25" customHeight="1"/>
    <row r="322" ht="20.25" customHeight="1"/>
    <row r="323" ht="20.25" customHeight="1"/>
    <row r="324" ht="20.25" customHeight="1"/>
    <row r="325" ht="20.25" customHeight="1"/>
    <row r="326" ht="20.25" customHeight="1"/>
    <row r="327" ht="20.25" customHeight="1"/>
    <row r="328" ht="20.25" customHeight="1"/>
    <row r="329" ht="20.25" customHeight="1"/>
    <row r="330" ht="20.25" customHeight="1"/>
    <row r="331" ht="20.25" customHeight="1"/>
    <row r="332" ht="20.25" customHeight="1"/>
    <row r="333" ht="20.25" customHeight="1"/>
    <row r="334" ht="20.25" customHeight="1"/>
    <row r="335" ht="20.25" customHeight="1"/>
    <row r="336" ht="20.25" customHeight="1"/>
    <row r="337" ht="20.25" customHeight="1"/>
    <row r="338" ht="20.25" customHeight="1"/>
    <row r="339" ht="20.25" customHeight="1"/>
    <row r="340" ht="20.25" customHeight="1"/>
    <row r="341" ht="20.25" customHeight="1"/>
    <row r="342" ht="20.25" customHeight="1"/>
    <row r="343" ht="20.25" customHeight="1"/>
    <row r="344" ht="20.25" customHeight="1"/>
    <row r="345" ht="20.25" customHeight="1"/>
    <row r="346" ht="20.25" customHeight="1"/>
    <row r="347" ht="20.25" customHeight="1"/>
    <row r="348" ht="20.25" customHeight="1"/>
    <row r="349" ht="20.25" customHeight="1"/>
    <row r="350" ht="20.25" customHeight="1"/>
    <row r="351" ht="20.25" customHeight="1"/>
    <row r="352" ht="20.25" customHeight="1"/>
    <row r="353" ht="20.25" customHeight="1"/>
    <row r="354" ht="20.25" customHeight="1"/>
    <row r="355" ht="20.25" customHeight="1"/>
    <row r="356" ht="20.25" customHeight="1"/>
    <row r="357" ht="20.25" customHeight="1"/>
    <row r="358" ht="20.25" customHeight="1"/>
    <row r="359" ht="20.25" customHeight="1"/>
    <row r="360" ht="20.25" customHeight="1"/>
    <row r="361" ht="20.25" customHeight="1"/>
    <row r="362" ht="20.25" customHeight="1"/>
    <row r="363" ht="20.25" customHeight="1"/>
    <row r="364" ht="20.25" customHeight="1"/>
    <row r="365" ht="20.25" customHeight="1"/>
    <row r="366" ht="20.25" customHeight="1"/>
    <row r="367" ht="20.25" customHeight="1"/>
    <row r="368" ht="20.25" customHeight="1"/>
    <row r="369" ht="20.25" customHeight="1"/>
    <row r="370" ht="20.25" customHeight="1"/>
    <row r="371" ht="20.25" customHeight="1"/>
    <row r="372" ht="20.25" customHeight="1"/>
    <row r="373" ht="20.25" customHeight="1"/>
  </sheetData>
  <sheetProtection formatCells="0" formatColumns="0" formatRows="0" sort="0" autoFilter="0" pivotTables="0"/>
  <mergeCells count="19">
    <mergeCell ref="A1:P1"/>
    <mergeCell ref="F2:H2"/>
    <mergeCell ref="I2:J2"/>
    <mergeCell ref="K2:O2"/>
    <mergeCell ref="F3:G3"/>
    <mergeCell ref="A2:A4"/>
    <mergeCell ref="B2:B4"/>
    <mergeCell ref="C2:C4"/>
    <mergeCell ref="D2:D4"/>
    <mergeCell ref="E2:E4"/>
    <mergeCell ref="H3:H4"/>
    <mergeCell ref="I3:I4"/>
    <mergeCell ref="J3:J4"/>
    <mergeCell ref="K3:K4"/>
    <mergeCell ref="L3:L4"/>
    <mergeCell ref="M3:M4"/>
    <mergeCell ref="N3:N4"/>
    <mergeCell ref="O3:O4"/>
    <mergeCell ref="P2:P4"/>
  </mergeCells>
  <pageMargins left="0.699305555555556" right="0.699305555555556" top="0.75" bottom="0.75" header="0.3" footer="0.3"/>
  <pageSetup paperSize="9" orientation="portrait" horizontalDpi="300" verticalDpi="300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基础页</vt:lpstr>
      <vt:lpstr>分析记录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Windows 用户</cp:lastModifiedBy>
  <dcterms:created xsi:type="dcterms:W3CDTF">2006-09-16T00:00:00Z</dcterms:created>
  <dcterms:modified xsi:type="dcterms:W3CDTF">2021-10-26T09:01:45Z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2052-10.8.0.6423</vt:lpwstr>
  </property>
</Properties>
</file>