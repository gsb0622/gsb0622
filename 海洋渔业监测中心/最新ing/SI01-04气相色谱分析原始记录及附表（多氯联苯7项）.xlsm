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lims\webNew2021\PeiZhi\FJHY\Lims\FenXi\1\"/>
    </mc:Choice>
  </mc:AlternateContent>
  <workbookProtection workbookAlgorithmName="SHA-512" workbookHashValue="iJsmyC9EgIRMY941imhEBAc5f5nuz1YsjkkM7tmGJmJGdGieXQHyUbBUSOGoRBw9wyFTdIVwxeXk5fJ1StkYfA==" workbookSaltValue="g/LVwmiKP77M9Fgo503rtQ==" workbookSpinCount="100000" lockStructure="1"/>
  <bookViews>
    <workbookView xWindow="0" yWindow="0" windowWidth="22368" windowHeight="10308" activeTab="1"/>
  </bookViews>
  <sheets>
    <sheet name="基础页" sheetId="5" r:id="rId1"/>
    <sheet name="分析记录" sheetId="10" r:id="rId2"/>
  </sheets>
  <functionGroups builtInGroupCount="18"/>
  <calcPr calcId="152511"/>
</workbook>
</file>

<file path=xl/calcChain.xml><?xml version="1.0" encoding="utf-8"?>
<calcChain xmlns="http://schemas.openxmlformats.org/spreadsheetml/2006/main"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5" i="10"/>
  <c r="E22" i="5" l="1"/>
  <c r="B13" i="5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</calcChain>
</file>

<file path=xl/sharedStrings.xml><?xml version="1.0" encoding="utf-8"?>
<sst xmlns="http://schemas.openxmlformats.org/spreadsheetml/2006/main" count="93" uniqueCount="93">
  <si>
    <r>
      <rPr>
        <b/>
        <sz val="11"/>
        <color theme="0"/>
        <rFont val="宋体"/>
        <family val="3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</si>
  <si>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</si>
  <si>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</si>
  <si>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</si>
  <si>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</si>
  <si>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</si>
  <si>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</si>
  <si>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r>
      <rPr>
        <sz val="11"/>
        <color theme="0" tint="-4.9989318521683403E-2"/>
        <rFont val="Times New Roman"/>
        <family val="1"/>
      </rPr>
      <t xml:space="preserve"> </t>
    </r>
    <r>
      <rPr>
        <sz val="11"/>
        <color theme="0" tint="-4.9989318521683403E-2"/>
        <rFont val="宋体"/>
        <family val="3"/>
        <charset val="134"/>
      </rPr>
      <t>气相色谱仪</t>
    </r>
    <r>
      <rPr>
        <sz val="11"/>
        <color theme="0" tint="-4.9989318521683403E-2"/>
        <rFont val="Times New Roman"/>
        <family val="1"/>
      </rPr>
      <t>AS004</t>
    </r>
  </si>
  <si>
    <t xml:space="preserve"> Agilent 6890N</t>
  </si>
  <si>
    <t>检测日期</t>
  </si>
  <si>
    <t>安全</t>
  </si>
  <si>
    <t>高效</t>
  </si>
  <si>
    <r>
      <rPr>
        <sz val="11"/>
        <color theme="0" tint="-4.9989318521683403E-2"/>
        <rFont val="Times New Roman"/>
        <family val="1"/>
      </rPr>
      <t xml:space="preserve"> </t>
    </r>
    <r>
      <rPr>
        <sz val="11"/>
        <color theme="0" tint="-4.9989318521683403E-2"/>
        <rFont val="宋体"/>
        <family val="3"/>
        <charset val="134"/>
      </rPr>
      <t>气相色谱仪</t>
    </r>
    <r>
      <rPr>
        <sz val="11"/>
        <color theme="0" tint="-4.9989318521683403E-2"/>
        <rFont val="Times New Roman"/>
        <family val="1"/>
      </rPr>
      <t>AS471</t>
    </r>
  </si>
  <si>
    <t xml:space="preserve"> Clarus 680</t>
  </si>
  <si>
    <t>样品类别</t>
  </si>
  <si>
    <t>水产品</t>
  </si>
  <si>
    <r>
      <rPr>
        <sz val="11"/>
        <color theme="0" tint="-4.9989318521683403E-2"/>
        <rFont val="宋体"/>
        <family val="3"/>
        <charset val="134"/>
      </rPr>
      <t xml:space="preserve"> 气相色谱仪</t>
    </r>
    <r>
      <rPr>
        <sz val="11"/>
        <color theme="0" tint="-4.9989318521683403E-2"/>
        <rFont val="Times New Roman"/>
        <family val="1"/>
      </rPr>
      <t>AS530</t>
    </r>
  </si>
  <si>
    <t>NexisGC-2030</t>
  </si>
  <si>
    <t>检测地点</t>
  </si>
  <si>
    <t>302室</t>
  </si>
  <si>
    <r>
      <rPr>
        <sz val="11"/>
        <color theme="0" tint="-4.9989318521683403E-2"/>
        <rFont val="Times New Roman"/>
        <family val="1"/>
      </rPr>
      <t xml:space="preserve">  </t>
    </r>
    <r>
      <rPr>
        <sz val="11"/>
        <color theme="0" tint="-4.9989318521683403E-2"/>
        <rFont val="宋体"/>
        <family val="3"/>
        <charset val="134"/>
      </rPr>
      <t>气相色谱仪</t>
    </r>
    <r>
      <rPr>
        <sz val="11"/>
        <color theme="0" tint="-4.9989318521683403E-2"/>
        <rFont val="Times New Roman"/>
        <family val="1"/>
      </rPr>
      <t>AS007</t>
    </r>
  </si>
  <si>
    <t>Agilent6890N</t>
  </si>
  <si>
    <t>检测依据</t>
  </si>
  <si>
    <t>GB 5009.190-2014</t>
  </si>
  <si>
    <r>
      <rPr>
        <sz val="11"/>
        <color theme="0" tint="-4.9989318521683403E-2"/>
        <rFont val="宋体"/>
        <family val="3"/>
        <charset val="134"/>
      </rPr>
      <t>气质联用仪</t>
    </r>
    <r>
      <rPr>
        <sz val="11"/>
        <color theme="0" tint="-4.9989318521683403E-2"/>
        <rFont val="Times New Roman"/>
        <family val="1"/>
      </rPr>
      <t>AS340</t>
    </r>
  </si>
  <si>
    <t xml:space="preserve">   Agilent7890B/5977A</t>
  </si>
  <si>
    <t>温度(℃)</t>
  </si>
  <si>
    <t>湿度(%)</t>
  </si>
  <si>
    <r>
      <rPr>
        <sz val="11"/>
        <color theme="0" tint="-4.9989318521683403E-2"/>
        <rFont val="宋体"/>
        <family val="3"/>
        <charset val="134"/>
      </rPr>
      <t>气质联用仪</t>
    </r>
    <r>
      <rPr>
        <sz val="11"/>
        <color theme="0" tint="-4.9989318521683403E-2"/>
        <rFont val="Times New Roman"/>
        <family val="1"/>
      </rPr>
      <t>AS117</t>
    </r>
  </si>
  <si>
    <t xml:space="preserve">  Agilent6890N/5975B</t>
  </si>
  <si>
    <t>检出限</t>
  </si>
  <si>
    <t>/</t>
  </si>
  <si>
    <r>
      <rPr>
        <b/>
        <sz val="11"/>
        <color theme="1"/>
        <rFont val="宋体"/>
        <family val="3"/>
        <charset val="134"/>
      </rPr>
      <t>说明：</t>
    </r>
  </si>
  <si>
    <t>定量限</t>
  </si>
  <si>
    <r>
      <rPr>
        <sz val="11"/>
        <color theme="1"/>
        <rFont val="宋体"/>
        <family val="3"/>
        <charset val="134"/>
      </rPr>
      <t xml:space="preserve">各PCB单体均为
0.5 </t>
    </r>
    <r>
      <rPr>
        <sz val="11"/>
        <color theme="1"/>
        <rFont val="Calibri"/>
        <family val="2"/>
      </rPr>
      <t>μ</t>
    </r>
    <r>
      <rPr>
        <sz val="11"/>
        <color theme="1"/>
        <rFont val="宋体"/>
        <family val="3"/>
        <charset val="134"/>
      </rPr>
      <t>g/kg</t>
    </r>
  </si>
  <si>
    <r>
      <rPr>
        <sz val="11"/>
        <color rgb="FFFF0000"/>
        <rFont val="宋体"/>
        <family val="3"/>
        <charset val="134"/>
      </rPr>
      <t>为需填写内容</t>
    </r>
  </si>
  <si>
    <t>仪器名称及编号</t>
  </si>
  <si>
    <t xml:space="preserve">  气相色谱仪AS007</t>
  </si>
  <si>
    <r>
      <rPr>
        <sz val="11"/>
        <color rgb="FFFF0000"/>
        <rFont val="宋体"/>
        <family val="3"/>
        <charset val="134"/>
      </rPr>
      <t>为不需要填写</t>
    </r>
  </si>
  <si>
    <t>仪器型号</t>
  </si>
  <si>
    <t>SH-Rtx-1(30m×0.25mm×0.25μm)</t>
  </si>
  <si>
    <r>
      <rPr>
        <sz val="11"/>
        <color rgb="FFFF0000"/>
        <rFont val="宋体"/>
        <family val="3"/>
        <charset val="134"/>
      </rPr>
      <t>为质控模块</t>
    </r>
  </si>
  <si>
    <t>天平编号</t>
  </si>
  <si>
    <t>HP-5 (30m×0.32mm×0.25μm)</t>
  </si>
  <si>
    <r>
      <rPr>
        <sz val="11"/>
        <color theme="1"/>
        <rFont val="宋体"/>
        <family val="3"/>
        <charset val="134"/>
      </rPr>
      <t>定容体积V</t>
    </r>
    <r>
      <rPr>
        <vertAlign val="subscript"/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(mL)</t>
    </r>
  </si>
  <si>
    <t>DB-1701(30m×0.25mm×0.25μm)</t>
  </si>
  <si>
    <t>色谱条件</t>
  </si>
  <si>
    <t>色谱柱</t>
  </si>
  <si>
    <t xml:space="preserve"> DB-1701(30m×0.25mm×0.25μm)
 HP-5 (30m×0.32mm×0.25μm)</t>
  </si>
  <si>
    <t>检测器温度(℃)</t>
  </si>
  <si>
    <t>不分流进样</t>
  </si>
  <si>
    <t>进样方式</t>
  </si>
  <si>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宋体"/>
        <family val="3"/>
        <charset val="134"/>
      </rPr>
      <t>不分流进样</t>
    </r>
    <r>
      <rPr>
        <sz val="11"/>
        <color theme="1"/>
        <rFont val="Times New Roman"/>
        <family val="1"/>
      </rPr>
      <t xml:space="preserve">
 </t>
    </r>
    <r>
      <rPr>
        <sz val="11"/>
        <color theme="1"/>
        <rFont val="宋体"/>
        <family val="3"/>
        <charset val="134"/>
      </rPr>
      <t>分流进样（分流比</t>
    </r>
    <r>
      <rPr>
        <sz val="11"/>
        <color theme="1"/>
        <rFont val="Times New Roman"/>
        <family val="1"/>
      </rPr>
      <t xml:space="preserve">   </t>
    </r>
    <r>
      <rPr>
        <sz val="11"/>
        <color theme="1"/>
        <rFont val="宋体"/>
        <family val="3"/>
        <charset val="134"/>
      </rPr>
      <t>：</t>
    </r>
    <r>
      <rPr>
        <sz val="11"/>
        <color theme="1"/>
        <rFont val="Times New Roman"/>
        <family val="1"/>
      </rPr>
      <t xml:space="preserve">  </t>
    </r>
    <r>
      <rPr>
        <sz val="11"/>
        <color theme="1"/>
        <rFont val="宋体"/>
        <family val="3"/>
        <charset val="134"/>
      </rPr>
      <t>）</t>
    </r>
  </si>
  <si>
    <t>进样口温度(℃)</t>
  </si>
  <si>
    <r>
      <rPr>
        <sz val="11"/>
        <color theme="0" tint="-4.9989318521683403E-2"/>
        <rFont val="宋体"/>
        <family val="3"/>
        <charset val="134"/>
      </rPr>
      <t>分流进样（分流比</t>
    </r>
    <r>
      <rPr>
        <sz val="11"/>
        <color theme="0" tint="-4.9989318521683403E-2"/>
        <rFont val="Times New Roman"/>
        <family val="1"/>
      </rPr>
      <t xml:space="preserve">  :  </t>
    </r>
    <r>
      <rPr>
        <sz val="11"/>
        <color theme="0" tint="-4.9989318521683403E-2"/>
        <rFont val="宋体"/>
        <family val="3"/>
        <charset val="134"/>
      </rPr>
      <t>）</t>
    </r>
  </si>
  <si>
    <t>流速(mL/min)</t>
  </si>
  <si>
    <r>
      <rPr>
        <sz val="11"/>
        <color theme="1"/>
        <rFont val="宋体"/>
        <family val="3"/>
        <charset val="134"/>
      </rPr>
      <t>进样体积(</t>
    </r>
    <r>
      <rPr>
        <sz val="11"/>
        <color theme="1"/>
        <rFont val="Calibri"/>
        <family val="2"/>
      </rPr>
      <t>μ</t>
    </r>
    <r>
      <rPr>
        <sz val="11"/>
        <color theme="1"/>
        <rFont val="宋体"/>
        <family val="3"/>
        <charset val="134"/>
      </rPr>
      <t>L)</t>
    </r>
  </si>
  <si>
    <t>柱温程序</t>
  </si>
  <si>
    <t>初温80℃，保持1min，以20℃/min升至200℃，再以5℃/min升至220℃，保持1min，最后以10℃/min升至275℃，保持9min。</t>
  </si>
  <si>
    <t>标准溶液</t>
  </si>
  <si>
    <r>
      <rPr>
        <sz val="11"/>
        <color theme="1"/>
        <rFont val="宋体"/>
        <family val="3"/>
        <charset val="134"/>
      </rPr>
      <t>标准工作溶液浓度(</t>
    </r>
    <r>
      <rPr>
        <sz val="11"/>
        <color theme="1"/>
        <rFont val="Calibri"/>
        <family val="2"/>
      </rPr>
      <t>μ</t>
    </r>
    <r>
      <rPr>
        <sz val="11"/>
        <color theme="1"/>
        <rFont val="宋体"/>
        <family val="3"/>
        <charset val="134"/>
      </rPr>
      <t>g/L)</t>
    </r>
  </si>
  <si>
    <t>1.00
5.00
10.0
20.0
50.0
100</t>
  </si>
  <si>
    <t>标准工作液编号</t>
  </si>
  <si>
    <t>内标及加入量</t>
  </si>
  <si>
    <r>
      <rPr>
        <sz val="11"/>
        <color theme="1"/>
        <rFont val="宋体"/>
        <family val="3"/>
        <charset val="134"/>
      </rPr>
      <t>PCB198，50</t>
    </r>
    <r>
      <rPr>
        <sz val="11"/>
        <color theme="1"/>
        <rFont val="Calibri"/>
        <family val="2"/>
      </rPr>
      <t>μ</t>
    </r>
    <r>
      <rPr>
        <sz val="11"/>
        <color theme="1"/>
        <rFont val="宋体"/>
        <family val="3"/>
        <charset val="134"/>
      </rPr>
      <t>g/L</t>
    </r>
  </si>
  <si>
    <t>标准工作液有效期</t>
  </si>
  <si>
    <r>
      <rPr>
        <sz val="11"/>
        <color theme="1"/>
        <rFont val="宋体"/>
        <family val="3"/>
        <charset val="134"/>
      </rPr>
      <t>试剂空白C</t>
    </r>
    <r>
      <rPr>
        <vertAlign val="subscript"/>
        <sz val="11"/>
        <color theme="1"/>
        <rFont val="宋体"/>
        <family val="3"/>
        <charset val="134"/>
      </rPr>
      <t>0</t>
    </r>
  </si>
  <si>
    <t>计算公式</t>
  </si>
  <si>
    <r>
      <rPr>
        <sz val="11"/>
        <color theme="1"/>
        <rFont val="宋体"/>
        <family val="3"/>
        <charset val="134"/>
      </rPr>
      <t>X=(C</t>
    </r>
    <r>
      <rPr>
        <vertAlign val="subscript"/>
        <sz val="11"/>
        <color theme="1"/>
        <rFont val="宋体"/>
        <family val="3"/>
        <charset val="134"/>
      </rPr>
      <t>S</t>
    </r>
    <r>
      <rPr>
        <sz val="11"/>
        <color theme="1"/>
        <rFont val="宋体"/>
        <family val="3"/>
        <charset val="134"/>
      </rPr>
      <t>-C</t>
    </r>
    <r>
      <rPr>
        <vertAlign val="subscript"/>
        <sz val="11"/>
        <color theme="1"/>
        <rFont val="宋体"/>
        <family val="3"/>
        <charset val="134"/>
      </rPr>
      <t>O</t>
    </r>
    <r>
      <rPr>
        <sz val="11"/>
        <color theme="1"/>
        <rFont val="宋体"/>
        <family val="3"/>
        <charset val="134"/>
      </rPr>
      <t>)×V</t>
    </r>
    <r>
      <rPr>
        <vertAlign val="subscript"/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</si>
  <si>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</si>
  <si>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</si>
  <si>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</si>
  <si>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</si>
  <si>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</si>
  <si>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</si>
  <si>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</si>
  <si>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取样量m(g)</t>
  </si>
  <si>
    <t>检测项目</t>
  </si>
  <si>
    <t>定性判定</t>
  </si>
  <si>
    <t>定量结果</t>
  </si>
  <si>
    <t>质控</t>
  </si>
  <si>
    <t>备注</t>
  </si>
  <si>
    <t>保留时间
（min）
X（   ）</t>
  </si>
  <si>
    <t>是否阳性</t>
  </si>
  <si>
    <t>样液
测定结果
Cs（    ）</t>
  </si>
  <si>
    <t>样品
残留量
X（    ）</t>
  </si>
  <si>
    <t>标样
推荐值/加标浓度</t>
  </si>
  <si>
    <r>
      <rPr>
        <sz val="11"/>
        <color theme="1"/>
        <rFont val="宋体"/>
        <family val="3"/>
        <charset val="134"/>
      </rPr>
      <t>加标体积</t>
    </r>
    <r>
      <rPr>
        <sz val="11"/>
        <color theme="1"/>
        <rFont val="Times New Roman"/>
        <family val="1"/>
      </rPr>
      <t xml:space="preserve">
(μL)</t>
    </r>
  </si>
  <si>
    <t>允许值</t>
  </si>
  <si>
    <r>
      <rPr>
        <sz val="11"/>
        <rFont val="宋体"/>
        <family val="3"/>
        <charset val="134"/>
      </rPr>
      <t>相对偏差</t>
    </r>
    <r>
      <rPr>
        <sz val="11"/>
        <rFont val="Times New Roman"/>
        <family val="1"/>
      </rPr>
      <t xml:space="preserve">
</t>
    </r>
    <r>
      <rPr>
        <sz val="11"/>
        <rFont val="宋体"/>
        <family val="3"/>
        <charset val="134"/>
      </rPr>
      <t>相对误差</t>
    </r>
    <r>
      <rPr>
        <sz val="11"/>
        <rFont val="Times New Roman"/>
        <family val="1"/>
      </rPr>
      <t xml:space="preserve">
</t>
    </r>
    <r>
      <rPr>
        <sz val="11"/>
        <rFont val="宋体"/>
        <family val="3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</si>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</sst>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_ ;[Red]\-0.0\ "/>
    <numFmt numFmtId="177" formatCode="0.0_ "/>
    <numFmt numFmtId="178" formatCode="0.0"/>
  </numFmts>
  <fonts count="21">
    <font>
      <sz val="11"/>
      <color theme="1"/>
      <name val="宋体"/>
      <charset val="134"/>
      <scheme val="minor"/>
    </font>
    <font>
      <sz val="11"/>
      <color theme="1"/>
      <name val="Times New Roman"/>
      <family val="1"/>
    </font>
    <font>
      <b/>
      <sz val="11"/>
      <color theme="0"/>
      <name val="宋体"/>
      <family val="3"/>
      <charset val="134"/>
    </font>
    <font>
      <sz val="11"/>
      <name val="宋体"/>
      <family val="3"/>
      <charset val="134"/>
    </font>
    <font>
      <sz val="11"/>
      <name val="Times New Roman"/>
      <family val="1"/>
    </font>
    <font>
      <sz val="11"/>
      <color theme="1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b/>
      <sz val="11"/>
      <color theme="0"/>
      <name val="Times New Roman"/>
      <family val="1"/>
    </font>
    <font>
      <sz val="36"/>
      <color theme="0"/>
      <name val="华文行楷"/>
      <family val="3"/>
      <charset val="134"/>
    </font>
    <font>
      <sz val="48"/>
      <color theme="0"/>
      <name val="华文行楷"/>
      <family val="3"/>
      <charset val="134"/>
    </font>
    <font>
      <sz val="11"/>
      <color theme="0" tint="-4.9989318521683403E-2"/>
      <name val="Times New Roman"/>
      <family val="1"/>
    </font>
    <font>
      <sz val="11"/>
      <color theme="0" tint="-4.9989318521683403E-2"/>
      <name val="宋体"/>
      <family val="3"/>
      <charset val="134"/>
    </font>
    <font>
      <sz val="36"/>
      <color theme="1"/>
      <name val="华文行楷"/>
      <family val="3"/>
      <charset val="134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0"/>
      <name val="Arial"/>
      <family val="2"/>
    </font>
    <font>
      <b/>
      <sz val="11"/>
      <color theme="1"/>
      <name val="宋体"/>
      <family val="3"/>
      <charset val="134"/>
    </font>
    <font>
      <sz val="11"/>
      <color theme="1"/>
      <name val="Calibri"/>
      <family val="2"/>
    </font>
    <font>
      <sz val="11"/>
      <color rgb="FFFF0000"/>
      <name val="宋体"/>
      <family val="3"/>
      <charset val="134"/>
    </font>
    <font>
      <vertAlign val="subscript"/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145481734672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5" fillId="0" borderId="0"/>
  </cellStyleXfs>
  <cellXfs count="123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NumberFormat="1" applyFont="1" applyFill="1" applyBorder="1" applyAlignment="1" applyProtection="1">
      <alignment horizontal="center" vertical="center"/>
      <protection locked="0"/>
    </xf>
    <xf numFmtId="0" fontId="6" fillId="9" borderId="0" xfId="0" applyFont="1" applyFill="1" applyAlignment="1">
      <alignment horizontal="center" vertical="center"/>
    </xf>
    <xf numFmtId="0" fontId="3" fillId="9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7" borderId="4" xfId="1" applyNumberFormat="1" applyFont="1" applyFill="1" applyBorder="1" applyAlignment="1" applyProtection="1">
      <alignment horizontal="left" vertical="center"/>
      <protection locked="0"/>
    </xf>
    <xf numFmtId="49" fontId="7" fillId="7" borderId="5" xfId="1" applyNumberFormat="1" applyFont="1" applyFill="1" applyBorder="1" applyAlignment="1" applyProtection="1">
      <alignment horizontal="left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0" fontId="7" fillId="10" borderId="0" xfId="0" applyNumberFormat="1" applyFont="1" applyFill="1" applyBorder="1" applyAlignment="1" applyProtection="1">
      <alignment horizontal="left" vertical="center"/>
      <protection locked="0"/>
    </xf>
    <xf numFmtId="49" fontId="1" fillId="10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0" fontId="1" fillId="10" borderId="0" xfId="0" applyNumberFormat="1" applyFont="1" applyFill="1" applyBorder="1" applyAlignment="1" applyProtection="1">
      <alignment horizontal="center" vertical="center"/>
      <protection locked="0"/>
    </xf>
    <xf numFmtId="49" fontId="8" fillId="10" borderId="0" xfId="0" applyNumberFormat="1" applyFont="1" applyFill="1" applyBorder="1" applyProtection="1"/>
    <xf numFmtId="176" fontId="1" fillId="10" borderId="0" xfId="0" applyNumberFormat="1" applyFont="1" applyFill="1" applyBorder="1" applyAlignment="1" applyProtection="1">
      <alignment horizontal="center" vertical="center"/>
      <protection locked="0"/>
    </xf>
    <xf numFmtId="49" fontId="9" fillId="10" borderId="0" xfId="0" applyNumberFormat="1" applyFont="1" applyFill="1" applyBorder="1" applyAlignment="1" applyProtection="1">
      <alignment horizontal="center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4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11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5" fillId="8" borderId="8" xfId="0" applyNumberFormat="1" applyFont="1" applyFill="1" applyBorder="1" applyAlignment="1">
      <alignment horizontal="center" vertical="center"/>
    </xf>
    <xf numFmtId="0" fontId="5" fillId="4" borderId="9" xfId="0" applyNumberFormat="1" applyFont="1" applyFill="1" applyBorder="1" applyAlignment="1">
      <alignment horizontal="right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  <protection locked="0"/>
    </xf>
    <xf numFmtId="49" fontId="12" fillId="10" borderId="0" xfId="0" applyNumberFormat="1" applyFont="1" applyFill="1" applyBorder="1" applyProtection="1"/>
    <xf numFmtId="49" fontId="9" fillId="10" borderId="0" xfId="0" applyNumberFormat="1" applyFont="1" applyFill="1" applyBorder="1" applyProtection="1"/>
    <xf numFmtId="49" fontId="13" fillId="2" borderId="12" xfId="0" applyNumberFormat="1" applyFont="1" applyFill="1" applyBorder="1" applyAlignment="1" applyProtection="1"/>
    <xf numFmtId="49" fontId="1" fillId="2" borderId="12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4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8" borderId="0" xfId="0" applyNumberFormat="1" applyFont="1" applyFill="1" applyBorder="1" applyProtection="1"/>
    <xf numFmtId="49" fontId="10" fillId="2" borderId="0" xfId="0" applyNumberFormat="1" applyFont="1" applyFill="1"/>
    <xf numFmtId="49" fontId="1" fillId="2" borderId="0" xfId="0" applyNumberFormat="1" applyFont="1" applyFill="1"/>
    <xf numFmtId="49" fontId="10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14" fillId="2" borderId="0" xfId="0" applyNumberFormat="1" applyFont="1" applyFill="1" applyAlignment="1">
      <alignment vertical="center"/>
    </xf>
    <xf numFmtId="49" fontId="14" fillId="2" borderId="0" xfId="0" applyNumberFormat="1" applyFont="1" applyFill="1" applyBorder="1" applyProtection="1"/>
    <xf numFmtId="49" fontId="10" fillId="2" borderId="0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5" fillId="4" borderId="3" xfId="0" applyNumberFormat="1" applyFont="1" applyFill="1" applyBorder="1" applyAlignment="1" applyProtection="1">
      <alignment horizontal="center" vertical="center"/>
      <protection locked="0"/>
    </xf>
    <xf numFmtId="49" fontId="7" fillId="7" borderId="1" xfId="0" applyNumberFormat="1" applyFont="1" applyFill="1" applyBorder="1" applyAlignment="1" applyProtection="1">
      <alignment horizontal="left" vertical="center"/>
      <protection locked="0"/>
    </xf>
    <xf numFmtId="49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3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177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3" xfId="0" applyNumberFormat="1" applyFont="1" applyFill="1" applyBorder="1" applyAlignment="1" applyProtection="1">
      <alignment horizontal="center" vertical="center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3" xfId="0" applyNumberFormat="1" applyFont="1" applyFill="1" applyBorder="1" applyAlignment="1" applyProtection="1">
      <alignment horizontal="center" vertical="center"/>
      <protection locked="0"/>
    </xf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4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4" xfId="0" applyNumberFormat="1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5" fillId="8" borderId="2" xfId="0" applyNumberFormat="1" applyFont="1" applyFill="1" applyBorder="1" applyAlignment="1">
      <alignment horizontal="center" vertical="center"/>
    </xf>
    <xf numFmtId="49" fontId="5" fillId="8" borderId="6" xfId="0" applyNumberFormat="1" applyFont="1" applyFill="1" applyBorder="1" applyAlignment="1">
      <alignment horizontal="center" vertical="center"/>
    </xf>
    <xf numFmtId="49" fontId="5" fillId="8" borderId="7" xfId="0" applyNumberFormat="1" applyFont="1" applyFill="1" applyBorder="1" applyAlignment="1">
      <alignment horizontal="center" vertical="center"/>
    </xf>
    <xf numFmtId="49" fontId="5" fillId="8" borderId="2" xfId="0" applyNumberFormat="1" applyFont="1" applyFill="1" applyBorder="1" applyAlignment="1">
      <alignment horizontal="center" vertical="center" wrapText="1"/>
    </xf>
    <xf numFmtId="49" fontId="5" fillId="8" borderId="7" xfId="0" applyNumberFormat="1" applyFont="1" applyFill="1" applyBorder="1" applyAlignment="1">
      <alignment horizontal="center" vertical="center" wrapText="1"/>
    </xf>
    <xf numFmtId="49" fontId="8" fillId="10" borderId="0" xfId="0" applyNumberFormat="1" applyFont="1" applyFill="1" applyBorder="1" applyAlignment="1" applyProtection="1">
      <alignment horizontal="center"/>
    </xf>
    <xf numFmtId="0" fontId="5" fillId="4" borderId="3" xfId="0" applyNumberFormat="1" applyFont="1" applyFill="1" applyBorder="1" applyAlignment="1" applyProtection="1">
      <alignment horizontal="left" vertical="center" wrapText="1"/>
      <protection locked="0"/>
    </xf>
    <xf numFmtId="0" fontId="1" fillId="4" borderId="4" xfId="0" applyNumberFormat="1" applyFont="1" applyFill="1" applyBorder="1" applyAlignment="1" applyProtection="1">
      <alignment horizontal="left" vertical="center" wrapText="1"/>
      <protection locked="0"/>
    </xf>
    <xf numFmtId="0" fontId="1" fillId="4" borderId="5" xfId="0" applyNumberFormat="1" applyFont="1" applyFill="1" applyBorder="1" applyAlignment="1" applyProtection="1">
      <alignment horizontal="left" vertical="center" wrapText="1"/>
      <protection locked="0"/>
    </xf>
    <xf numFmtId="0" fontId="5" fillId="4" borderId="3" xfId="0" applyNumberFormat="1" applyFont="1" applyFill="1" applyBorder="1" applyAlignment="1">
      <alignment horizontal="center" vertical="center" wrapText="1"/>
    </xf>
    <xf numFmtId="0" fontId="5" fillId="4" borderId="4" xfId="0" applyNumberFormat="1" applyFont="1" applyFill="1" applyBorder="1" applyAlignment="1">
      <alignment horizontal="center" vertical="center" wrapText="1"/>
    </xf>
    <xf numFmtId="49" fontId="5" fillId="4" borderId="3" xfId="0" applyNumberFormat="1" applyFont="1" applyFill="1" applyBorder="1" applyAlignment="1">
      <alignment horizontal="center" vertical="center" wrapText="1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2" fillId="7" borderId="3" xfId="0" applyNumberFormat="1" applyFont="1" applyFill="1" applyBorder="1" applyAlignment="1" applyProtection="1">
      <alignment horizontal="left" vertical="center"/>
      <protection locked="0"/>
    </xf>
    <xf numFmtId="49" fontId="2" fillId="7" borderId="10" xfId="0" applyNumberFormat="1" applyFont="1" applyFill="1" applyBorder="1" applyAlignment="1" applyProtection="1">
      <alignment horizontal="left" vertical="center"/>
      <protection locked="0"/>
    </xf>
    <xf numFmtId="49" fontId="2" fillId="7" borderId="11" xfId="0" applyNumberFormat="1" applyFont="1" applyFill="1" applyBorder="1" applyAlignment="1" applyProtection="1">
      <alignment horizontal="left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/>
      <protection locked="0"/>
    </xf>
    <xf numFmtId="177" fontId="1" fillId="4" borderId="5" xfId="0" applyNumberFormat="1" applyFont="1" applyFill="1" applyBorder="1" applyAlignment="1" applyProtection="1">
      <alignment horizontal="center" vertical="center"/>
      <protection locked="0"/>
    </xf>
    <xf numFmtId="177" fontId="1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" fillId="7" borderId="0" xfId="1" applyNumberFormat="1" applyFont="1" applyFill="1" applyAlignment="1" applyProtection="1">
      <alignment horizontal="center" vertical="center"/>
      <protection locked="0"/>
    </xf>
    <xf numFmtId="49" fontId="7" fillId="7" borderId="4" xfId="1" applyNumberFormat="1" applyFont="1" applyFill="1" applyBorder="1" applyAlignment="1" applyProtection="1">
      <alignment horizontal="left" vertical="center"/>
      <protection locked="0"/>
    </xf>
    <xf numFmtId="0" fontId="3" fillId="9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9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8" borderId="1" xfId="0" applyNumberFormat="1" applyFont="1" applyFill="1" applyBorder="1" applyAlignment="1" applyProtection="1">
      <alignment horizontal="center" vertical="center"/>
      <protection locked="0"/>
    </xf>
    <xf numFmtId="49" fontId="4" fillId="8" borderId="1" xfId="0" applyNumberFormat="1" applyFont="1" applyFill="1" applyBorder="1" applyAlignment="1" applyProtection="1">
      <alignment horizontal="center" vertical="center"/>
      <protection locked="0"/>
    </xf>
    <xf numFmtId="49" fontId="3" fillId="9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9" borderId="6" xfId="0" applyNumberFormat="1" applyFont="1" applyFill="1" applyBorder="1" applyAlignment="1" applyProtection="1">
      <alignment horizontal="center" vertical="center" wrapText="1"/>
      <protection locked="0"/>
    </xf>
    <xf numFmtId="49" fontId="3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5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9" borderId="7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colors>
    <mruColors>
      <color rgb="FFF2F3F8"/>
      <color rgb="FF689CDA"/>
      <color rgb="FFF5F6F9"/>
      <color rgb="FFFFFFCC"/>
      <color rgb="FFFFFF66"/>
      <color rgb="FFEDF676"/>
      <color rgb="FFE6E686"/>
      <color rgb="FF8385E9"/>
      <color rgb="FFFFFC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 macro="" textlink="">
      <xdr:nvSpPr>
        <xdr:cNvPr id="2" name="TextBox 1"/>
        <xdr:cNvSpPr txBox="1"/>
      </xdr:nvSpPr>
      <xdr:spPr>
        <a:xfrm>
          <a:off x="13125450" y="505396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 macro="" textlink="">
      <xdr:nvSpPr>
        <xdr:cNvPr id="3" name="TextBox 2"/>
        <xdr:cNvSpPr txBox="1"/>
      </xdr:nvSpPr>
      <xdr:spPr>
        <a:xfrm>
          <a:off x="14596110" y="477774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2</xdr:col>
      <xdr:colOff>76201</xdr:colOff>
      <xdr:row>22</xdr:row>
      <xdr:rowOff>71717</xdr:rowOff>
    </xdr:from>
    <xdr:ext cx="65" cy="172227"/>
    <xdr:sp macro="" textlink="">
      <xdr:nvSpPr>
        <xdr:cNvPr id="4" name="文本框 3"/>
        <xdr:cNvSpPr txBox="1"/>
      </xdr:nvSpPr>
      <xdr:spPr>
        <a:xfrm>
          <a:off x="2606040" y="9380855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103094</xdr:colOff>
      <xdr:row>19</xdr:row>
      <xdr:rowOff>1281952</xdr:rowOff>
    </xdr:from>
    <xdr:ext cx="65" cy="172227"/>
    <xdr:sp macro="" textlink="">
      <xdr:nvSpPr>
        <xdr:cNvPr id="5" name="文本框 4"/>
        <xdr:cNvSpPr txBox="1"/>
      </xdr:nvSpPr>
      <xdr:spPr>
        <a:xfrm>
          <a:off x="6572250" y="8347075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7"/>
  <sheetViews>
    <sheetView zoomScale="85" zoomScaleNormal="85" workbookViewId="0">
      <selection activeCell="A8" sqref="A8"/>
    </sheetView>
  </sheetViews>
  <sheetFormatPr defaultColWidth="9" defaultRowHeight="20.25" customHeight="1"/>
  <cols>
    <col min="1" max="1" width="19" style="13" customWidth="1"/>
    <col min="2" max="2" width="17.88671875" style="13" customWidth="1"/>
    <col min="3" max="3" width="28.21875" style="13" customWidth="1"/>
    <col min="4" max="4" width="18.33203125" style="13" customWidth="1"/>
    <col min="5" max="5" width="10.88671875" style="13" customWidth="1"/>
    <col min="6" max="6" width="33.88671875" style="2" customWidth="1"/>
    <col min="7" max="16" width="5.109375" style="2" customWidth="1"/>
    <col min="17" max="20" width="9" style="2"/>
    <col min="21" max="21" width="19.109375" style="2" customWidth="1"/>
    <col min="22" max="22" width="20.109375" style="2" customWidth="1"/>
    <col min="23" max="16384" width="9" style="2"/>
  </cols>
  <sheetData>
    <row r="1" spans="1:28" ht="20.25" customHeight="1">
      <c r="A1" s="57" t="s">
        <v>0</v>
      </c>
      <c r="B1" s="57"/>
      <c r="C1" s="57"/>
      <c r="D1" s="57"/>
      <c r="E1" s="57"/>
      <c r="F1" s="14" t="s">
        <v>1</v>
      </c>
      <c r="G1" s="15"/>
      <c r="H1" s="15"/>
      <c r="I1" s="15"/>
      <c r="J1" s="15"/>
      <c r="K1" s="15"/>
      <c r="L1" s="15"/>
      <c r="M1" s="15"/>
      <c r="N1" s="15"/>
      <c r="O1" s="15"/>
      <c r="P1" s="38"/>
      <c r="T1" s="48"/>
      <c r="U1" s="48"/>
      <c r="V1" s="48"/>
      <c r="W1" s="48"/>
      <c r="X1" s="49"/>
    </row>
    <row r="2" spans="1:28" s="1" customFormat="1" ht="21" customHeight="1">
      <c r="A2" s="16" t="s">
        <v>2</v>
      </c>
      <c r="B2" s="58"/>
      <c r="C2" s="59"/>
      <c r="D2" s="59"/>
      <c r="E2" s="60"/>
      <c r="F2" s="17"/>
      <c r="G2" s="15"/>
      <c r="H2" s="85" t="s">
        <v>3</v>
      </c>
      <c r="I2" s="85"/>
      <c r="J2" s="85"/>
      <c r="K2" s="18"/>
      <c r="L2" s="85" t="s">
        <v>4</v>
      </c>
      <c r="M2" s="85"/>
      <c r="N2" s="85"/>
      <c r="O2" s="15"/>
      <c r="P2" s="38"/>
      <c r="T2" s="50"/>
      <c r="U2" s="50"/>
      <c r="V2" s="50"/>
      <c r="W2" s="50"/>
      <c r="X2" s="51"/>
    </row>
    <row r="3" spans="1:28" s="1" customFormat="1" ht="21" customHeight="1">
      <c r="A3" s="16" t="s">
        <v>5</v>
      </c>
      <c r="B3" s="61"/>
      <c r="C3" s="62"/>
      <c r="D3" s="62"/>
      <c r="E3" s="63"/>
      <c r="F3" s="17"/>
      <c r="G3" s="15"/>
      <c r="H3" s="85"/>
      <c r="I3" s="85"/>
      <c r="J3" s="85"/>
      <c r="K3" s="18"/>
      <c r="L3" s="85"/>
      <c r="M3" s="85"/>
      <c r="N3" s="85"/>
      <c r="O3" s="15"/>
      <c r="P3" s="38"/>
      <c r="T3" s="50"/>
      <c r="U3" s="50"/>
      <c r="V3" s="50"/>
      <c r="W3" s="50"/>
      <c r="X3" s="50"/>
      <c r="Y3" s="54"/>
    </row>
    <row r="4" spans="1:28" s="1" customFormat="1" ht="21" customHeight="1">
      <c r="A4" s="16" t="s">
        <v>6</v>
      </c>
      <c r="B4" s="61"/>
      <c r="C4" s="62"/>
      <c r="D4" s="62"/>
      <c r="E4" s="63"/>
      <c r="F4" s="17"/>
      <c r="G4" s="15"/>
      <c r="H4" s="18"/>
      <c r="I4" s="18"/>
      <c r="J4" s="18"/>
      <c r="K4" s="18"/>
      <c r="L4" s="18"/>
      <c r="M4" s="39"/>
      <c r="N4" s="39"/>
      <c r="O4" s="15"/>
      <c r="P4" s="38"/>
      <c r="R4" s="44"/>
      <c r="S4" s="44"/>
      <c r="T4" s="50"/>
      <c r="U4" s="50" t="s">
        <v>7</v>
      </c>
      <c r="V4" s="50" t="s">
        <v>8</v>
      </c>
      <c r="W4" s="50"/>
      <c r="X4" s="52"/>
      <c r="Y4" s="44"/>
      <c r="Z4" s="44"/>
      <c r="AA4" s="44"/>
      <c r="AB4" s="44"/>
    </row>
    <row r="5" spans="1:28" s="1" customFormat="1" ht="21" customHeight="1">
      <c r="A5" s="16" t="s">
        <v>9</v>
      </c>
      <c r="B5" s="61"/>
      <c r="C5" s="62"/>
      <c r="D5" s="62"/>
      <c r="E5" s="63"/>
      <c r="F5" s="17"/>
      <c r="G5" s="15"/>
      <c r="H5" s="85" t="s">
        <v>10</v>
      </c>
      <c r="I5" s="85"/>
      <c r="J5" s="85"/>
      <c r="K5" s="18"/>
      <c r="L5" s="85" t="s">
        <v>11</v>
      </c>
      <c r="M5" s="85"/>
      <c r="N5" s="85"/>
      <c r="O5" s="15"/>
      <c r="P5" s="38"/>
      <c r="R5" s="44"/>
      <c r="S5" s="44"/>
      <c r="T5" s="50"/>
      <c r="U5" s="50" t="s">
        <v>12</v>
      </c>
      <c r="V5" s="50" t="s">
        <v>13</v>
      </c>
      <c r="W5" s="50"/>
      <c r="X5" s="52"/>
      <c r="Y5" s="44"/>
      <c r="Z5" s="44"/>
      <c r="AA5" s="44"/>
      <c r="AB5" s="44"/>
    </row>
    <row r="6" spans="1:28" s="1" customFormat="1" ht="21" customHeight="1">
      <c r="A6" s="16" t="s">
        <v>14</v>
      </c>
      <c r="B6" s="70" t="s">
        <v>15</v>
      </c>
      <c r="C6" s="71"/>
      <c r="D6" s="71"/>
      <c r="E6" s="72"/>
      <c r="F6" s="19"/>
      <c r="G6" s="15"/>
      <c r="H6" s="85"/>
      <c r="I6" s="85"/>
      <c r="J6" s="85"/>
      <c r="K6" s="18"/>
      <c r="L6" s="85"/>
      <c r="M6" s="85"/>
      <c r="N6" s="85"/>
      <c r="O6" s="15"/>
      <c r="P6" s="38"/>
      <c r="R6" s="44"/>
      <c r="S6" s="44"/>
      <c r="T6" s="50"/>
      <c r="U6" s="50" t="s">
        <v>16</v>
      </c>
      <c r="V6" s="50" t="s">
        <v>17</v>
      </c>
      <c r="W6" s="50"/>
      <c r="X6" s="52"/>
      <c r="Y6" s="44"/>
      <c r="Z6" s="44"/>
      <c r="AA6" s="44"/>
      <c r="AB6" s="44"/>
    </row>
    <row r="7" spans="1:28" s="1" customFormat="1" ht="21" customHeight="1">
      <c r="A7" s="16" t="s">
        <v>18</v>
      </c>
      <c r="B7" s="70" t="s">
        <v>19</v>
      </c>
      <c r="C7" s="71"/>
      <c r="D7" s="71"/>
      <c r="E7" s="72"/>
      <c r="F7" s="19"/>
      <c r="G7" s="15"/>
      <c r="H7" s="85"/>
      <c r="I7" s="85"/>
      <c r="J7" s="85"/>
      <c r="K7" s="18"/>
      <c r="L7" s="85"/>
      <c r="M7" s="85"/>
      <c r="N7" s="85"/>
      <c r="O7" s="15"/>
      <c r="P7" s="38"/>
      <c r="R7" s="44"/>
      <c r="S7" s="44"/>
      <c r="T7" s="50"/>
      <c r="U7" s="50" t="s">
        <v>20</v>
      </c>
      <c r="V7" s="50" t="s">
        <v>21</v>
      </c>
      <c r="W7" s="50"/>
      <c r="X7" s="52"/>
      <c r="Y7" s="44"/>
      <c r="Z7" s="44"/>
      <c r="AA7" s="44"/>
      <c r="AB7" s="44"/>
    </row>
    <row r="8" spans="1:28" s="1" customFormat="1" ht="30" customHeight="1">
      <c r="A8" s="16" t="s">
        <v>22</v>
      </c>
      <c r="B8" s="73" t="s">
        <v>23</v>
      </c>
      <c r="C8" s="74"/>
      <c r="D8" s="74"/>
      <c r="E8" s="75"/>
      <c r="F8" s="19"/>
      <c r="G8" s="15"/>
      <c r="H8" s="20"/>
      <c r="I8" s="20"/>
      <c r="J8" s="20"/>
      <c r="K8" s="40"/>
      <c r="L8" s="20"/>
      <c r="M8" s="20"/>
      <c r="N8" s="20"/>
      <c r="O8" s="15"/>
      <c r="P8" s="38"/>
      <c r="R8" s="44"/>
      <c r="S8" s="44"/>
      <c r="T8" s="50"/>
      <c r="U8" s="50" t="s">
        <v>24</v>
      </c>
      <c r="V8" s="50" t="s">
        <v>25</v>
      </c>
      <c r="W8" s="50"/>
      <c r="X8" s="52"/>
      <c r="Y8" s="44"/>
      <c r="Z8" s="44"/>
      <c r="AA8" s="44"/>
      <c r="AB8" s="44"/>
    </row>
    <row r="9" spans="1:28" s="1" customFormat="1" ht="21" customHeight="1">
      <c r="A9" s="16" t="s">
        <v>26</v>
      </c>
      <c r="B9" s="21"/>
      <c r="C9" s="22" t="s">
        <v>27</v>
      </c>
      <c r="D9" s="76"/>
      <c r="E9" s="76"/>
      <c r="F9" s="23"/>
      <c r="G9" s="2"/>
      <c r="H9" s="2"/>
      <c r="M9" s="2"/>
      <c r="N9" s="2"/>
      <c r="O9" s="2"/>
      <c r="P9" s="23"/>
      <c r="R9" s="44"/>
      <c r="S9" s="44"/>
      <c r="T9" s="50"/>
      <c r="U9" s="50" t="s">
        <v>28</v>
      </c>
      <c r="V9" s="50" t="s">
        <v>29</v>
      </c>
      <c r="W9" s="50"/>
      <c r="X9" s="52"/>
      <c r="Y9" s="44"/>
      <c r="Z9" s="44"/>
      <c r="AA9" s="44"/>
      <c r="AB9" s="44"/>
    </row>
    <row r="10" spans="1:28" s="1" customFormat="1" ht="34.200000000000003" customHeight="1">
      <c r="A10" s="16" t="s">
        <v>30</v>
      </c>
      <c r="B10" s="73" t="s">
        <v>31</v>
      </c>
      <c r="C10" s="77"/>
      <c r="D10" s="77"/>
      <c r="E10" s="78"/>
      <c r="F10" s="23"/>
      <c r="G10" s="2"/>
      <c r="H10" s="2"/>
      <c r="I10" s="41" t="s">
        <v>32</v>
      </c>
      <c r="J10" s="42"/>
      <c r="K10" s="23"/>
      <c r="L10" s="23"/>
      <c r="M10" s="2"/>
      <c r="N10" s="2"/>
      <c r="O10" s="2"/>
      <c r="P10" s="23"/>
      <c r="R10" s="44"/>
      <c r="S10" s="44"/>
      <c r="T10" s="50"/>
      <c r="U10" s="50"/>
      <c r="V10" s="50"/>
      <c r="W10" s="50"/>
      <c r="X10" s="52"/>
      <c r="Y10" s="44"/>
      <c r="Z10" s="44"/>
      <c r="AA10" s="44"/>
      <c r="AB10" s="44"/>
    </row>
    <row r="11" spans="1:28" s="1" customFormat="1" ht="36" customHeight="1">
      <c r="A11" s="16" t="s">
        <v>33</v>
      </c>
      <c r="B11" s="64" t="s">
        <v>34</v>
      </c>
      <c r="C11" s="97"/>
      <c r="D11" s="97"/>
      <c r="E11" s="98"/>
      <c r="F11" s="23"/>
      <c r="G11" s="23"/>
      <c r="H11" s="2"/>
      <c r="I11" s="43"/>
      <c r="J11" s="44" t="s">
        <v>35</v>
      </c>
      <c r="K11" s="23"/>
      <c r="L11" s="23"/>
      <c r="M11" s="23"/>
      <c r="N11" s="23"/>
      <c r="O11" s="23"/>
      <c r="P11" s="23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</row>
    <row r="12" spans="1:28" s="1" customFormat="1" ht="40.200000000000003" customHeight="1">
      <c r="A12" s="16" t="s">
        <v>36</v>
      </c>
      <c r="B12" s="99" t="s">
        <v>37</v>
      </c>
      <c r="C12" s="97"/>
      <c r="D12" s="97"/>
      <c r="E12" s="98"/>
      <c r="F12" s="23"/>
      <c r="G12" s="23"/>
      <c r="H12" s="2"/>
      <c r="I12" s="45"/>
      <c r="J12" s="44" t="s">
        <v>38</v>
      </c>
      <c r="K12" s="2"/>
      <c r="L12" s="2"/>
      <c r="M12" s="23"/>
      <c r="N12" s="23"/>
      <c r="O12" s="23"/>
      <c r="P12" s="23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</row>
    <row r="13" spans="1:28" s="1" customFormat="1" ht="39" customHeight="1">
      <c r="A13" s="16" t="s">
        <v>39</v>
      </c>
      <c r="B13" s="99" t="str">
        <f>IFERROR(VLOOKUP(B12,U4:V9,2,),"")</f>
        <v>Agilent6890N</v>
      </c>
      <c r="C13" s="97"/>
      <c r="D13" s="97"/>
      <c r="E13" s="98"/>
      <c r="F13" s="24" t="s">
        <v>40</v>
      </c>
      <c r="G13" s="23"/>
      <c r="H13" s="2"/>
      <c r="I13" s="46"/>
      <c r="J13" s="44" t="s">
        <v>41</v>
      </c>
      <c r="K13" s="2"/>
      <c r="L13" s="2"/>
      <c r="M13" s="23"/>
      <c r="N13" s="23"/>
      <c r="O13" s="23"/>
      <c r="P13" s="23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</row>
    <row r="14" spans="1:28" s="1" customFormat="1" ht="25.95" customHeight="1">
      <c r="A14" s="16" t="s">
        <v>42</v>
      </c>
      <c r="B14" s="64"/>
      <c r="C14" s="65"/>
      <c r="D14" s="65"/>
      <c r="E14" s="66"/>
      <c r="F14" s="24" t="s">
        <v>43</v>
      </c>
      <c r="G14" s="23"/>
      <c r="H14" s="2"/>
      <c r="I14" s="47"/>
      <c r="J14" s="44"/>
      <c r="K14" s="2"/>
      <c r="L14" s="2"/>
      <c r="M14" s="23"/>
      <c r="N14" s="23"/>
      <c r="O14" s="23"/>
      <c r="P14" s="23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</row>
    <row r="15" spans="1:28" ht="25.35" customHeight="1">
      <c r="A15" s="25" t="s">
        <v>44</v>
      </c>
      <c r="B15" s="67">
        <v>1</v>
      </c>
      <c r="C15" s="68"/>
      <c r="D15" s="68"/>
      <c r="E15" s="69"/>
      <c r="F15" s="24" t="s">
        <v>45</v>
      </c>
      <c r="G15" s="23"/>
      <c r="I15" s="47"/>
      <c r="J15" s="44"/>
      <c r="M15" s="23"/>
      <c r="N15" s="23"/>
      <c r="O15" s="23"/>
      <c r="P15" s="2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</row>
    <row r="16" spans="1:28" ht="61.2" customHeight="1">
      <c r="A16" s="80" t="s">
        <v>46</v>
      </c>
      <c r="B16" s="25" t="s">
        <v>47</v>
      </c>
      <c r="C16" s="26" t="s">
        <v>48</v>
      </c>
      <c r="D16" s="25" t="s">
        <v>49</v>
      </c>
      <c r="E16" s="27">
        <v>300</v>
      </c>
      <c r="F16" s="28" t="s">
        <v>50</v>
      </c>
      <c r="G16" s="29"/>
      <c r="H16" s="12"/>
      <c r="I16" s="12"/>
      <c r="J16" s="12"/>
      <c r="K16" s="12"/>
      <c r="L16" s="29"/>
      <c r="M16" s="29"/>
      <c r="N16" s="29"/>
      <c r="O16" s="29"/>
      <c r="P16" s="29"/>
    </row>
    <row r="17" spans="1:16" ht="28.8">
      <c r="A17" s="81"/>
      <c r="B17" s="25" t="s">
        <v>51</v>
      </c>
      <c r="C17" s="26" t="s">
        <v>52</v>
      </c>
      <c r="D17" s="25" t="s">
        <v>53</v>
      </c>
      <c r="E17" s="27">
        <v>220</v>
      </c>
      <c r="F17" s="30" t="s">
        <v>54</v>
      </c>
    </row>
    <row r="18" spans="1:16" ht="25.2" customHeight="1">
      <c r="A18" s="81"/>
      <c r="B18" s="25" t="s">
        <v>55</v>
      </c>
      <c r="C18" s="31">
        <v>1</v>
      </c>
      <c r="D18" s="25" t="s">
        <v>56</v>
      </c>
      <c r="E18" s="31">
        <v>1</v>
      </c>
    </row>
    <row r="19" spans="1:16" ht="43.2" customHeight="1">
      <c r="A19" s="82"/>
      <c r="B19" s="25" t="s">
        <v>57</v>
      </c>
      <c r="C19" s="86" t="s">
        <v>58</v>
      </c>
      <c r="D19" s="87"/>
      <c r="E19" s="88"/>
    </row>
    <row r="20" spans="1:16" ht="112.2" customHeight="1">
      <c r="A20" s="83" t="s">
        <v>59</v>
      </c>
      <c r="B20" s="32" t="s">
        <v>60</v>
      </c>
      <c r="C20" s="32" t="s">
        <v>61</v>
      </c>
      <c r="D20" s="32" t="s">
        <v>62</v>
      </c>
      <c r="E20" s="33"/>
    </row>
    <row r="21" spans="1:16" s="12" customFormat="1" ht="38.25" customHeight="1">
      <c r="A21" s="84"/>
      <c r="B21" s="32" t="s">
        <v>63</v>
      </c>
      <c r="C21" s="34" t="s">
        <v>64</v>
      </c>
      <c r="D21" s="32" t="s">
        <v>65</v>
      </c>
      <c r="E21" s="33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s="12" customFormat="1" ht="26.25" customHeight="1">
      <c r="A22" s="35" t="s">
        <v>66</v>
      </c>
      <c r="B22" s="89">
        <v>0</v>
      </c>
      <c r="C22" s="90"/>
      <c r="D22" s="90"/>
      <c r="E22" s="36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ht="33.450000000000003" customHeight="1">
      <c r="A23" s="37" t="s">
        <v>67</v>
      </c>
      <c r="B23" s="91" t="s">
        <v>68</v>
      </c>
      <c r="C23" s="92"/>
      <c r="D23" s="92"/>
      <c r="E23" s="93"/>
    </row>
    <row r="24" spans="1:16" ht="20.25" customHeight="1">
      <c r="A24" s="94" t="s">
        <v>69</v>
      </c>
      <c r="B24" s="95"/>
      <c r="C24" s="95"/>
      <c r="D24" s="95"/>
      <c r="E24" s="96"/>
    </row>
    <row r="25" spans="1:16" ht="20.25" customHeight="1">
      <c r="A25" s="16" t="s">
        <v>70</v>
      </c>
      <c r="B25" s="79"/>
      <c r="C25" s="79"/>
      <c r="D25" s="79"/>
      <c r="E25" s="79"/>
    </row>
    <row r="26" spans="1:16" ht="20.25" customHeight="1">
      <c r="A26" s="16" t="s">
        <v>71</v>
      </c>
      <c r="B26" s="79"/>
      <c r="C26" s="79"/>
      <c r="D26" s="79"/>
      <c r="E26" s="79"/>
    </row>
    <row r="27" spans="1:16" ht="20.25" customHeight="1">
      <c r="A27" s="16" t="s">
        <v>72</v>
      </c>
      <c r="B27" s="79"/>
      <c r="C27" s="79"/>
      <c r="D27" s="79"/>
      <c r="E27" s="79"/>
    </row>
  </sheetData>
  <sheetProtection formatCells="0" formatColumns="0" formatRows="0" sort="0" autoFilter="0" pivotTables="0"/>
  <mergeCells count="28">
    <mergeCell ref="B26:E26"/>
    <mergeCell ref="B27:E27"/>
    <mergeCell ref="A16:A19"/>
    <mergeCell ref="A20:A21"/>
    <mergeCell ref="L2:N3"/>
    <mergeCell ref="H5:J7"/>
    <mergeCell ref="L5:N7"/>
    <mergeCell ref="H2:J3"/>
    <mergeCell ref="C19:E19"/>
    <mergeCell ref="B22:D22"/>
    <mergeCell ref="B23:E23"/>
    <mergeCell ref="A24:E24"/>
    <mergeCell ref="B25:E25"/>
    <mergeCell ref="B11:E11"/>
    <mergeCell ref="B12:E12"/>
    <mergeCell ref="B13:E13"/>
    <mergeCell ref="B14:E14"/>
    <mergeCell ref="B15:E15"/>
    <mergeCell ref="B6:E6"/>
    <mergeCell ref="B7:E7"/>
    <mergeCell ref="B8:E8"/>
    <mergeCell ref="D9:E9"/>
    <mergeCell ref="B10:E10"/>
    <mergeCell ref="A1:E1"/>
    <mergeCell ref="B2:E2"/>
    <mergeCell ref="B3:E3"/>
    <mergeCell ref="B4:E4"/>
    <mergeCell ref="B5:E5"/>
  </mergeCells>
  <phoneticPr fontId="20" type="noConversion"/>
  <dataValidations count="3">
    <dataValidation type="list" allowBlank="1" showInputMessage="1" sqref="B12:E12">
      <formula1>$U$4:$U$9</formula1>
    </dataValidation>
    <dataValidation type="list" allowBlank="1" showInputMessage="1" sqref="C16">
      <formula1>$F$13:$F$15</formula1>
    </dataValidation>
    <dataValidation type="list" allowBlank="1" showInputMessage="1" sqref="C17">
      <formula1>$F$16:$F$17</formula1>
    </dataValidation>
  </dataValidations>
  <pageMargins left="0.69930555555555596" right="0.69930555555555596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73"/>
  <sheetViews>
    <sheetView tabSelected="1" workbookViewId="0">
      <selection activeCell="K7" sqref="K7"/>
    </sheetView>
  </sheetViews>
  <sheetFormatPr defaultColWidth="9" defaultRowHeight="13.8"/>
  <cols>
    <col min="1" max="1" width="9" style="2"/>
    <col min="2" max="2" width="15.109375" style="3" customWidth="1"/>
    <col min="3" max="5" width="12.44140625" style="4" customWidth="1"/>
    <col min="6" max="7" width="14.109375" style="5" customWidth="1"/>
    <col min="8" max="8" width="11.44140625" style="5" customWidth="1"/>
    <col min="9" max="9" width="13.77734375" style="5" customWidth="1"/>
    <col min="10" max="14" width="11.33203125" style="6" customWidth="1"/>
    <col min="15" max="15" width="12.44140625" style="4" customWidth="1"/>
    <col min="16" max="16384" width="9" style="2"/>
  </cols>
  <sheetData>
    <row r="1" spans="1:28" ht="20.25" customHeight="1">
      <c r="A1" s="105" t="s">
        <v>73</v>
      </c>
      <c r="B1" s="105"/>
      <c r="C1" s="105"/>
      <c r="D1" s="105"/>
      <c r="E1" s="105"/>
      <c r="F1" s="105"/>
      <c r="G1" s="105"/>
      <c r="H1" s="105"/>
      <c r="I1" s="105"/>
      <c r="J1" s="106"/>
      <c r="K1" s="9"/>
      <c r="L1" s="9"/>
      <c r="M1" s="9"/>
      <c r="N1" s="9"/>
      <c r="O1" s="10"/>
    </row>
    <row r="2" spans="1:28" s="1" customFormat="1" ht="34.200000000000003" customHeight="1">
      <c r="A2" s="112" t="s">
        <v>74</v>
      </c>
      <c r="B2" s="112" t="s">
        <v>75</v>
      </c>
      <c r="C2" s="114" t="s">
        <v>76</v>
      </c>
      <c r="D2" s="114" t="s">
        <v>77</v>
      </c>
      <c r="E2" s="107" t="s">
        <v>78</v>
      </c>
      <c r="F2" s="108"/>
      <c r="G2" s="109"/>
      <c r="H2" s="107" t="s">
        <v>79</v>
      </c>
      <c r="I2" s="109"/>
      <c r="J2" s="100" t="s">
        <v>80</v>
      </c>
      <c r="K2" s="100"/>
      <c r="L2" s="100"/>
      <c r="M2" s="100"/>
      <c r="N2" s="100"/>
      <c r="O2" s="104" t="s">
        <v>81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s="1" customFormat="1" ht="27.6" customHeight="1">
      <c r="A3" s="113"/>
      <c r="B3" s="113"/>
      <c r="C3" s="115"/>
      <c r="D3" s="115"/>
      <c r="E3" s="110" t="s">
        <v>82</v>
      </c>
      <c r="F3" s="111"/>
      <c r="G3" s="121" t="s">
        <v>83</v>
      </c>
      <c r="H3" s="117" t="s">
        <v>84</v>
      </c>
      <c r="I3" s="117" t="s">
        <v>85</v>
      </c>
      <c r="J3" s="100" t="s">
        <v>86</v>
      </c>
      <c r="K3" s="119" t="s">
        <v>87</v>
      </c>
      <c r="L3" s="100" t="s">
        <v>88</v>
      </c>
      <c r="M3" s="100" t="s">
        <v>89</v>
      </c>
      <c r="N3" s="102" t="s">
        <v>90</v>
      </c>
      <c r="O3" s="104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 s="1" customFormat="1" ht="44.4" customHeight="1">
      <c r="A4" s="113"/>
      <c r="B4" s="113"/>
      <c r="C4" s="116"/>
      <c r="D4" s="116"/>
      <c r="E4" s="7" t="s">
        <v>91</v>
      </c>
      <c r="F4" s="8" t="s">
        <v>92</v>
      </c>
      <c r="G4" s="122"/>
      <c r="H4" s="118"/>
      <c r="I4" s="118"/>
      <c r="J4" s="100"/>
      <c r="K4" s="120"/>
      <c r="L4" s="101"/>
      <c r="M4" s="101"/>
      <c r="N4" s="103"/>
      <c r="O4" s="104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8" ht="20.25" customHeight="1">
      <c r="A5" s="55"/>
      <c r="B5" s="55"/>
      <c r="F5" s="4"/>
      <c r="G5" s="27" t="str">
        <f>IFERROR(IF(ISBLANK(H5),"",IF(I5="ND","否","是")),"")</f>
        <v/>
      </c>
      <c r="H5" s="4"/>
      <c r="I5" s="4" t="str">
        <f>IFERROR(IF(H5="ND","ND",XiuYue((((H5-基础页!$B$22)*基础页!$B$15/C5)),3,-1,9999)),"")</f>
        <v/>
      </c>
    </row>
    <row r="6" spans="1:28" ht="20.25" customHeight="1">
      <c r="A6" s="55"/>
      <c r="B6" s="55"/>
      <c r="F6" s="4"/>
      <c r="G6" s="27" t="str">
        <f t="shared" ref="G6:G69" si="0">IFERROR(IF(ISBLANK(H6),"",IF(I6="ND","否","是")),"")</f>
        <v/>
      </c>
      <c r="H6" s="4"/>
      <c r="I6" s="4" t="str">
        <f>IFERROR(IF(H6="ND","ND",XiuYue((((H6-基础页!$B$22)*基础页!$B$15/C6)),3,-1,9999)),"")</f>
        <v/>
      </c>
    </row>
    <row r="7" spans="1:28" ht="20.25" customHeight="1">
      <c r="A7" s="55"/>
      <c r="B7" s="55"/>
      <c r="F7" s="4"/>
      <c r="G7" s="27" t="str">
        <f t="shared" si="0"/>
        <v/>
      </c>
      <c r="H7" s="4"/>
      <c r="I7" s="4" t="str">
        <f>IFERROR(IF(H7="ND","ND",XiuYue((((H7-基础页!$B$22)*基础页!$B$15/C7)),3,-1,9999)),"")</f>
        <v/>
      </c>
    </row>
    <row r="8" spans="1:28" ht="20.25" customHeight="1">
      <c r="A8" s="55"/>
      <c r="B8" s="55"/>
      <c r="F8" s="4"/>
      <c r="G8" s="27" t="str">
        <f t="shared" si="0"/>
        <v/>
      </c>
      <c r="H8" s="4"/>
      <c r="I8" s="4" t="str">
        <f>IFERROR(IF(H8="ND","ND",XiuYue((((H8-基础页!$B$22)*基础页!$B$15/C8)),3,-1,9999)),"")</f>
        <v/>
      </c>
    </row>
    <row r="9" spans="1:28" ht="20.25" customHeight="1">
      <c r="A9" s="55"/>
      <c r="B9" s="55"/>
      <c r="F9" s="4"/>
      <c r="G9" s="27" t="str">
        <f t="shared" si="0"/>
        <v/>
      </c>
      <c r="H9" s="4"/>
      <c r="I9" s="4" t="str">
        <f>IFERROR(IF(H9="ND","ND",XiuYue((((H9-基础页!$B$22)*基础页!$B$15/C9)),3,-1,9999)),"")</f>
        <v/>
      </c>
    </row>
    <row r="10" spans="1:28" ht="20.25" customHeight="1">
      <c r="A10" s="55"/>
      <c r="B10" s="55"/>
      <c r="F10" s="4"/>
      <c r="G10" s="27" t="str">
        <f t="shared" si="0"/>
        <v/>
      </c>
      <c r="H10" s="4"/>
      <c r="I10" s="4" t="str">
        <f>IFERROR(IF(H10="ND","ND",XiuYue((((H10-基础页!$B$22)*基础页!$B$15/C10)),3,-1,9999)),"")</f>
        <v/>
      </c>
    </row>
    <row r="11" spans="1:28" ht="20.25" customHeight="1">
      <c r="A11" s="55"/>
      <c r="B11" s="55"/>
      <c r="F11" s="4"/>
      <c r="G11" s="27" t="str">
        <f t="shared" si="0"/>
        <v/>
      </c>
      <c r="H11" s="4"/>
      <c r="I11" s="4" t="str">
        <f>IFERROR(IF(H11="ND","ND",XiuYue((((H11-基础页!$B$22)*基础页!$B$15/C11)),3,-1,9999)),"")</f>
        <v/>
      </c>
    </row>
    <row r="12" spans="1:28" ht="20.25" customHeight="1">
      <c r="A12" s="55"/>
      <c r="B12" s="55"/>
      <c r="D12" s="56"/>
      <c r="F12" s="4"/>
      <c r="G12" s="27" t="str">
        <f t="shared" si="0"/>
        <v/>
      </c>
      <c r="H12" s="4"/>
      <c r="I12" s="4" t="str">
        <f>IFERROR(IF(H12="ND","ND",XiuYue((((H12-基础页!$B$22)*基础页!$B$15/C12)),3,-1,9999)),"")</f>
        <v/>
      </c>
    </row>
    <row r="13" spans="1:28" ht="20.25" customHeight="1">
      <c r="A13" s="55"/>
      <c r="B13" s="55"/>
      <c r="F13" s="4"/>
      <c r="G13" s="27" t="str">
        <f t="shared" si="0"/>
        <v/>
      </c>
      <c r="H13" s="4"/>
      <c r="I13" s="4" t="str">
        <f>IFERROR(IF(H13="ND","ND",XiuYue((((H13-基础页!$B$22)*基础页!$B$15/C13)),3,-1,9999)),"")</f>
        <v/>
      </c>
    </row>
    <row r="14" spans="1:28" ht="20.25" customHeight="1">
      <c r="A14" s="55"/>
      <c r="B14" s="55"/>
      <c r="F14" s="4"/>
      <c r="G14" s="27" t="str">
        <f t="shared" si="0"/>
        <v/>
      </c>
      <c r="H14" s="4"/>
      <c r="I14" s="4" t="str">
        <f>IFERROR(IF(H14="ND","ND",XiuYue((((H14-基础页!$B$22)*基础页!$B$15/C14)),3,-1,9999)),"")</f>
        <v/>
      </c>
    </row>
    <row r="15" spans="1:28" ht="20.25" customHeight="1">
      <c r="A15" s="55"/>
      <c r="B15" s="55"/>
      <c r="F15" s="4"/>
      <c r="G15" s="27" t="str">
        <f t="shared" si="0"/>
        <v/>
      </c>
      <c r="H15" s="4"/>
      <c r="I15" s="4" t="str">
        <f>IFERROR(IF(H15="ND","ND",XiuYue((((H15-基础页!$B$22)*基础页!$B$15/C15)),3,-1,9999)),"")</f>
        <v/>
      </c>
    </row>
    <row r="16" spans="1:28" ht="20.25" customHeight="1">
      <c r="A16" s="55"/>
      <c r="B16" s="55"/>
      <c r="F16" s="4"/>
      <c r="G16" s="27" t="str">
        <f t="shared" si="0"/>
        <v/>
      </c>
      <c r="H16" s="4"/>
      <c r="I16" s="4" t="str">
        <f>IFERROR(IF(H16="ND","ND",XiuYue((((H16-基础页!$B$22)*基础页!$B$15/C16)),3,-1,9999)),"")</f>
        <v/>
      </c>
    </row>
    <row r="17" spans="1:9" ht="20.25" customHeight="1">
      <c r="A17" s="55"/>
      <c r="B17" s="55"/>
      <c r="F17" s="4"/>
      <c r="G17" s="27" t="str">
        <f t="shared" si="0"/>
        <v/>
      </c>
      <c r="H17" s="4"/>
      <c r="I17" s="4" t="str">
        <f>IFERROR(IF(H17="ND","ND",XiuYue((((H17-基础页!$B$22)*基础页!$B$15/C17)),3,-1,9999)),"")</f>
        <v/>
      </c>
    </row>
    <row r="18" spans="1:9" ht="20.25" customHeight="1">
      <c r="A18" s="55"/>
      <c r="B18" s="55"/>
      <c r="F18" s="4"/>
      <c r="G18" s="27" t="str">
        <f t="shared" si="0"/>
        <v/>
      </c>
      <c r="H18" s="4"/>
      <c r="I18" s="4" t="str">
        <f>IFERROR(IF(H18="ND","ND",XiuYue((((H18-基础页!$B$22)*基础页!$B$15/C18)),3,-1,9999)),"")</f>
        <v/>
      </c>
    </row>
    <row r="19" spans="1:9" ht="20.25" customHeight="1">
      <c r="A19" s="55"/>
      <c r="B19" s="55"/>
      <c r="F19" s="4"/>
      <c r="G19" s="27" t="str">
        <f t="shared" si="0"/>
        <v/>
      </c>
      <c r="H19" s="4"/>
      <c r="I19" s="4" t="str">
        <f>IFERROR(IF(H19="ND","ND",XiuYue((((H19-基础页!$B$22)*基础页!$B$15/C19)),3,-1,9999)),"")</f>
        <v/>
      </c>
    </row>
    <row r="20" spans="1:9" ht="20.25" customHeight="1">
      <c r="A20" s="55"/>
      <c r="B20" s="55"/>
      <c r="F20" s="4"/>
      <c r="G20" s="27" t="str">
        <f t="shared" si="0"/>
        <v/>
      </c>
      <c r="H20" s="4"/>
      <c r="I20" s="4" t="str">
        <f>IFERROR(IF(H20="ND","ND",XiuYue((((H20-基础页!$B$22)*基础页!$B$15/C20)),3,-1,9999)),"")</f>
        <v/>
      </c>
    </row>
    <row r="21" spans="1:9" ht="20.25" customHeight="1">
      <c r="A21" s="55"/>
      <c r="B21" s="55"/>
      <c r="F21" s="4"/>
      <c r="G21" s="27" t="str">
        <f t="shared" si="0"/>
        <v/>
      </c>
      <c r="H21" s="4"/>
      <c r="I21" s="4" t="str">
        <f>IFERROR(IF(H21="ND","ND",XiuYue((((H21-基础页!$B$22)*基础页!$B$15/C21)),3,-1,9999)),"")</f>
        <v/>
      </c>
    </row>
    <row r="22" spans="1:9" ht="20.25" customHeight="1">
      <c r="A22" s="55"/>
      <c r="B22" s="55"/>
      <c r="F22" s="4"/>
      <c r="G22" s="27" t="str">
        <f t="shared" si="0"/>
        <v/>
      </c>
      <c r="H22" s="4"/>
      <c r="I22" s="4" t="str">
        <f>IFERROR(IF(H22="ND","ND",XiuYue((((H22-基础页!$B$22)*基础页!$B$15/C22)),3,-1,9999)),"")</f>
        <v/>
      </c>
    </row>
    <row r="23" spans="1:9" ht="20.25" customHeight="1">
      <c r="A23" s="55"/>
      <c r="B23" s="55"/>
      <c r="F23" s="4"/>
      <c r="G23" s="27" t="str">
        <f t="shared" si="0"/>
        <v/>
      </c>
      <c r="H23" s="4"/>
      <c r="I23" s="4" t="str">
        <f>IFERROR(IF(H23="ND","ND",XiuYue((((H23-基础页!$B$22)*基础页!$B$15/C23)),3,-1,9999)),"")</f>
        <v/>
      </c>
    </row>
    <row r="24" spans="1:9" ht="20.25" customHeight="1">
      <c r="A24" s="55"/>
      <c r="B24" s="55"/>
      <c r="F24" s="4"/>
      <c r="G24" s="27" t="str">
        <f t="shared" si="0"/>
        <v/>
      </c>
      <c r="H24" s="4"/>
      <c r="I24" s="4" t="str">
        <f>IFERROR(IF(H24="ND","ND",XiuYue((((H24-基础页!$B$22)*基础页!$B$15/C24)),3,-1,9999)),"")</f>
        <v/>
      </c>
    </row>
    <row r="25" spans="1:9" ht="20.25" customHeight="1">
      <c r="A25" s="55"/>
      <c r="B25" s="55"/>
      <c r="F25" s="4"/>
      <c r="G25" s="27" t="str">
        <f t="shared" si="0"/>
        <v/>
      </c>
      <c r="H25" s="4"/>
      <c r="I25" s="4" t="str">
        <f>IFERROR(IF(H25="ND","ND",XiuYue((((H25-基础页!$B$22)*基础页!$B$15/C25)),3,-1,9999)),"")</f>
        <v/>
      </c>
    </row>
    <row r="26" spans="1:9" ht="20.25" customHeight="1">
      <c r="A26" s="55"/>
      <c r="B26" s="55"/>
      <c r="F26" s="4"/>
      <c r="G26" s="27" t="str">
        <f t="shared" si="0"/>
        <v/>
      </c>
      <c r="H26" s="4"/>
      <c r="I26" s="4" t="str">
        <f>IFERROR(IF(H26="ND","ND",XiuYue((((H26-基础页!$B$22)*基础页!$B$15/C26)),3,-1,9999)),"")</f>
        <v/>
      </c>
    </row>
    <row r="27" spans="1:9" ht="20.25" customHeight="1">
      <c r="A27" s="55"/>
      <c r="B27" s="55"/>
      <c r="F27" s="4"/>
      <c r="G27" s="27" t="str">
        <f t="shared" si="0"/>
        <v/>
      </c>
      <c r="H27" s="4"/>
      <c r="I27" s="4" t="str">
        <f>IFERROR(IF(H27="ND","ND",XiuYue((((H27-基础页!$B$22)*基础页!$B$15/C27)),3,-1,9999)),"")</f>
        <v/>
      </c>
    </row>
    <row r="28" spans="1:9" ht="20.25" customHeight="1">
      <c r="A28" s="55"/>
      <c r="B28" s="55"/>
      <c r="F28" s="4"/>
      <c r="G28" s="27" t="str">
        <f t="shared" si="0"/>
        <v/>
      </c>
      <c r="H28" s="4"/>
      <c r="I28" s="4" t="str">
        <f>IFERROR(IF(H28="ND","ND",XiuYue((((H28-基础页!$B$22)*基础页!$B$15/C28)),3,-1,9999)),"")</f>
        <v/>
      </c>
    </row>
    <row r="29" spans="1:9" ht="20.25" customHeight="1">
      <c r="A29" s="55"/>
      <c r="B29" s="55"/>
      <c r="F29" s="4"/>
      <c r="G29" s="27" t="str">
        <f t="shared" si="0"/>
        <v/>
      </c>
      <c r="H29" s="4"/>
      <c r="I29" s="4" t="str">
        <f>IFERROR(IF(H29="ND","ND",XiuYue((((H29-基础页!$B$22)*基础页!$B$15/C29)),3,-1,9999)),"")</f>
        <v/>
      </c>
    </row>
    <row r="30" spans="1:9" ht="20.25" customHeight="1">
      <c r="A30" s="55"/>
      <c r="B30" s="55"/>
      <c r="F30" s="4"/>
      <c r="G30" s="27" t="str">
        <f t="shared" si="0"/>
        <v/>
      </c>
      <c r="H30" s="4"/>
      <c r="I30" s="4" t="str">
        <f>IFERROR(IF(H30="ND","ND",XiuYue((((H30-基础页!$B$22)*基础页!$B$15/C30)),3,-1,9999)),"")</f>
        <v/>
      </c>
    </row>
    <row r="31" spans="1:9" ht="20.25" customHeight="1">
      <c r="A31" s="55"/>
      <c r="B31" s="55"/>
      <c r="F31" s="4"/>
      <c r="G31" s="27" t="str">
        <f t="shared" si="0"/>
        <v/>
      </c>
      <c r="H31" s="4"/>
      <c r="I31" s="4" t="str">
        <f>IFERROR(IF(H31="ND","ND",XiuYue((((H31-基础页!$B$22)*基础页!$B$15/C31)),3,-1,9999)),"")</f>
        <v/>
      </c>
    </row>
    <row r="32" spans="1:9" ht="20.25" customHeight="1">
      <c r="A32" s="55"/>
      <c r="B32" s="55"/>
      <c r="F32" s="4"/>
      <c r="G32" s="27" t="str">
        <f t="shared" si="0"/>
        <v/>
      </c>
      <c r="H32" s="4"/>
      <c r="I32" s="4" t="str">
        <f>IFERROR(IF(H32="ND","ND",XiuYue((((H32-基础页!$B$22)*基础页!$B$15/C32)),3,-1,9999)),"")</f>
        <v/>
      </c>
    </row>
    <row r="33" spans="1:9" ht="20.25" customHeight="1">
      <c r="A33" s="55"/>
      <c r="B33" s="55"/>
      <c r="F33" s="4"/>
      <c r="G33" s="27" t="str">
        <f t="shared" si="0"/>
        <v/>
      </c>
      <c r="H33" s="4"/>
      <c r="I33" s="4" t="str">
        <f>IFERROR(IF(H33="ND","ND",XiuYue((((H33-基础页!$B$22)*基础页!$B$15/C33)),3,-1,9999)),"")</f>
        <v/>
      </c>
    </row>
    <row r="34" spans="1:9" ht="20.25" customHeight="1">
      <c r="A34" s="55"/>
      <c r="B34" s="55"/>
      <c r="F34" s="4"/>
      <c r="G34" s="27" t="str">
        <f t="shared" si="0"/>
        <v/>
      </c>
      <c r="H34" s="4"/>
      <c r="I34" s="4" t="str">
        <f>IFERROR(IF(H34="ND","ND",XiuYue((((H34-基础页!$B$22)*基础页!$B$15/C34)),3,-1,9999)),"")</f>
        <v/>
      </c>
    </row>
    <row r="35" spans="1:9" ht="20.25" customHeight="1">
      <c r="A35" s="55"/>
      <c r="B35" s="55"/>
      <c r="F35" s="4"/>
      <c r="G35" s="27" t="str">
        <f t="shared" si="0"/>
        <v/>
      </c>
      <c r="H35" s="4"/>
      <c r="I35" s="4" t="str">
        <f>IFERROR(IF(H35="ND","ND",XiuYue((((H35-基础页!$B$22)*基础页!$B$15/C35)),3,-1,9999)),"")</f>
        <v/>
      </c>
    </row>
    <row r="36" spans="1:9" ht="20.25" customHeight="1">
      <c r="A36" s="55"/>
      <c r="B36" s="55"/>
      <c r="F36" s="4"/>
      <c r="G36" s="27" t="str">
        <f t="shared" si="0"/>
        <v/>
      </c>
      <c r="H36" s="4"/>
      <c r="I36" s="4" t="str">
        <f>IFERROR(IF(H36="ND","ND",XiuYue((((H36-基础页!$B$22)*基础页!$B$15/C36)),3,-1,9999)),"")</f>
        <v/>
      </c>
    </row>
    <row r="37" spans="1:9" ht="20.25" customHeight="1">
      <c r="A37" s="55"/>
      <c r="B37" s="55"/>
      <c r="F37" s="4"/>
      <c r="G37" s="27" t="str">
        <f t="shared" si="0"/>
        <v/>
      </c>
      <c r="H37" s="4"/>
      <c r="I37" s="4" t="str">
        <f>IFERROR(IF(H37="ND","ND",XiuYue((((H37-基础页!$B$22)*基础页!$B$15/C37)),3,-1,9999)),"")</f>
        <v/>
      </c>
    </row>
    <row r="38" spans="1:9" ht="20.25" customHeight="1">
      <c r="A38" s="55"/>
      <c r="B38" s="55"/>
      <c r="F38" s="4"/>
      <c r="G38" s="27" t="str">
        <f t="shared" si="0"/>
        <v/>
      </c>
      <c r="H38" s="4"/>
      <c r="I38" s="4" t="str">
        <f>IFERROR(IF(H38="ND","ND",XiuYue((((H38-基础页!$B$22)*基础页!$B$15/C38)),3,-1,9999)),"")</f>
        <v/>
      </c>
    </row>
    <row r="39" spans="1:9" ht="20.25" customHeight="1">
      <c r="A39" s="55"/>
      <c r="B39" s="55"/>
      <c r="F39" s="4"/>
      <c r="G39" s="27" t="str">
        <f t="shared" si="0"/>
        <v/>
      </c>
      <c r="H39" s="4"/>
      <c r="I39" s="4" t="str">
        <f>IFERROR(IF(H39="ND","ND",XiuYue((((H39-基础页!$B$22)*基础页!$B$15/C39)),3,-1,9999)),"")</f>
        <v/>
      </c>
    </row>
    <row r="40" spans="1:9" ht="20.25" customHeight="1">
      <c r="A40" s="55"/>
      <c r="B40" s="55"/>
      <c r="F40" s="4"/>
      <c r="G40" s="27" t="str">
        <f t="shared" si="0"/>
        <v/>
      </c>
      <c r="H40" s="4"/>
      <c r="I40" s="4" t="str">
        <f>IFERROR(IF(H40="ND","ND",XiuYue((((H40-基础页!$B$22)*基础页!$B$15/C40)),3,-1,9999)),"")</f>
        <v/>
      </c>
    </row>
    <row r="41" spans="1:9" ht="20.25" customHeight="1">
      <c r="A41" s="55"/>
      <c r="B41" s="55"/>
      <c r="F41" s="4"/>
      <c r="G41" s="27" t="str">
        <f t="shared" si="0"/>
        <v/>
      </c>
      <c r="H41" s="4"/>
      <c r="I41" s="4" t="str">
        <f>IFERROR(IF(H41="ND","ND",XiuYue((((H41-基础页!$B$22)*基础页!$B$15/C41)),3,-1,9999)),"")</f>
        <v/>
      </c>
    </row>
    <row r="42" spans="1:9" ht="20.25" customHeight="1">
      <c r="A42" s="55"/>
      <c r="B42" s="55"/>
      <c r="F42" s="4"/>
      <c r="G42" s="27" t="str">
        <f t="shared" si="0"/>
        <v/>
      </c>
      <c r="H42" s="4"/>
      <c r="I42" s="4" t="str">
        <f>IFERROR(IF(H42="ND","ND",XiuYue((((H42-基础页!$B$22)*基础页!$B$15/C42)),3,-1,9999)),"")</f>
        <v/>
      </c>
    </row>
    <row r="43" spans="1:9" ht="20.25" customHeight="1">
      <c r="A43" s="55"/>
      <c r="B43" s="55"/>
      <c r="F43" s="4"/>
      <c r="G43" s="27" t="str">
        <f t="shared" si="0"/>
        <v/>
      </c>
      <c r="H43" s="4"/>
      <c r="I43" s="4" t="str">
        <f>IFERROR(IF(H43="ND","ND",XiuYue((((H43-基础页!$B$22)*基础页!$B$15/C43)),3,-1,9999)),"")</f>
        <v/>
      </c>
    </row>
    <row r="44" spans="1:9" ht="20.25" customHeight="1">
      <c r="A44" s="55"/>
      <c r="B44" s="55"/>
      <c r="F44" s="4"/>
      <c r="G44" s="27" t="str">
        <f t="shared" si="0"/>
        <v/>
      </c>
      <c r="H44" s="4"/>
      <c r="I44" s="4" t="str">
        <f>IFERROR(IF(H44="ND","ND",XiuYue((((H44-基础页!$B$22)*基础页!$B$15/C44)),3,-1,9999)),"")</f>
        <v/>
      </c>
    </row>
    <row r="45" spans="1:9" ht="20.25" customHeight="1">
      <c r="A45" s="55"/>
      <c r="B45" s="55"/>
      <c r="F45" s="4"/>
      <c r="G45" s="27" t="str">
        <f t="shared" si="0"/>
        <v/>
      </c>
      <c r="H45" s="4"/>
      <c r="I45" s="4" t="str">
        <f>IFERROR(IF(H45="ND","ND",XiuYue((((H45-基础页!$B$22)*基础页!$B$15/C45)),3,-1,9999)),"")</f>
        <v/>
      </c>
    </row>
    <row r="46" spans="1:9" ht="20.25" customHeight="1">
      <c r="A46" s="55"/>
      <c r="B46" s="55"/>
      <c r="F46" s="4"/>
      <c r="G46" s="27" t="str">
        <f t="shared" si="0"/>
        <v/>
      </c>
      <c r="H46" s="4"/>
      <c r="I46" s="4" t="str">
        <f>IFERROR(IF(H46="ND","ND",XiuYue((((H46-基础页!$B$22)*基础页!$B$15/C46)),3,-1,9999)),"")</f>
        <v/>
      </c>
    </row>
    <row r="47" spans="1:9" ht="20.25" customHeight="1">
      <c r="A47" s="55"/>
      <c r="B47" s="55"/>
      <c r="F47" s="4"/>
      <c r="G47" s="27" t="str">
        <f t="shared" si="0"/>
        <v/>
      </c>
      <c r="H47" s="4"/>
      <c r="I47" s="4" t="str">
        <f>IFERROR(IF(H47="ND","ND",XiuYue((((H47-基础页!$B$22)*基础页!$B$15/C47)),3,-1,9999)),"")</f>
        <v/>
      </c>
    </row>
    <row r="48" spans="1:9" ht="20.25" customHeight="1">
      <c r="A48" s="55"/>
      <c r="B48" s="55"/>
      <c r="F48" s="4"/>
      <c r="G48" s="27" t="str">
        <f t="shared" si="0"/>
        <v/>
      </c>
      <c r="H48" s="4"/>
      <c r="I48" s="4" t="str">
        <f>IFERROR(IF(H48="ND","ND",XiuYue((((H48-基础页!$B$22)*基础页!$B$15/C48)),3,-1,9999)),"")</f>
        <v/>
      </c>
    </row>
    <row r="49" spans="1:9" ht="20.25" customHeight="1">
      <c r="A49" s="55"/>
      <c r="B49" s="55"/>
      <c r="F49" s="4"/>
      <c r="G49" s="27" t="str">
        <f t="shared" si="0"/>
        <v/>
      </c>
      <c r="H49" s="4"/>
      <c r="I49" s="4" t="str">
        <f>IFERROR(IF(H49="ND","ND",XiuYue((((H49-基础页!$B$22)*基础页!$B$15/C49)),3,-1,9999)),"")</f>
        <v/>
      </c>
    </row>
    <row r="50" spans="1:9" ht="20.25" customHeight="1">
      <c r="A50" s="55"/>
      <c r="B50" s="55"/>
      <c r="F50" s="4"/>
      <c r="G50" s="27" t="str">
        <f t="shared" si="0"/>
        <v/>
      </c>
      <c r="H50" s="4"/>
      <c r="I50" s="4" t="str">
        <f>IFERROR(IF(H50="ND","ND",XiuYue((((H50-基础页!$B$22)*基础页!$B$15/C50)),3,-1,9999)),"")</f>
        <v/>
      </c>
    </row>
    <row r="51" spans="1:9" ht="20.25" customHeight="1">
      <c r="A51" s="55"/>
      <c r="B51" s="55"/>
      <c r="F51" s="4"/>
      <c r="G51" s="27" t="str">
        <f t="shared" si="0"/>
        <v/>
      </c>
      <c r="H51" s="4"/>
      <c r="I51" s="4" t="str">
        <f>IFERROR(IF(H51="ND","ND",XiuYue((((H51-基础页!$B$22)*基础页!$B$15/C51)),3,-1,9999)),"")</f>
        <v/>
      </c>
    </row>
    <row r="52" spans="1:9" ht="20.25" customHeight="1">
      <c r="A52" s="55"/>
      <c r="B52" s="55"/>
      <c r="F52" s="4"/>
      <c r="G52" s="27" t="str">
        <f t="shared" si="0"/>
        <v/>
      </c>
      <c r="H52" s="4"/>
      <c r="I52" s="4" t="str">
        <f>IFERROR(IF(H52="ND","ND",XiuYue((((H52-基础页!$B$22)*基础页!$B$15/C52)),3,-1,9999)),"")</f>
        <v/>
      </c>
    </row>
    <row r="53" spans="1:9" ht="20.25" customHeight="1">
      <c r="A53" s="55"/>
      <c r="B53" s="55"/>
      <c r="F53" s="4"/>
      <c r="G53" s="27" t="str">
        <f t="shared" si="0"/>
        <v/>
      </c>
      <c r="H53" s="4"/>
      <c r="I53" s="4" t="str">
        <f>IFERROR(IF(H53="ND","ND",XiuYue((((H53-基础页!$B$22)*基础页!$B$15/C53)),3,-1,9999)),"")</f>
        <v/>
      </c>
    </row>
    <row r="54" spans="1:9" ht="20.25" customHeight="1">
      <c r="A54" s="55"/>
      <c r="B54" s="55"/>
      <c r="F54" s="4"/>
      <c r="G54" s="27" t="str">
        <f t="shared" si="0"/>
        <v/>
      </c>
      <c r="H54" s="4"/>
      <c r="I54" s="4" t="str">
        <f>IFERROR(IF(H54="ND","ND",XiuYue((((H54-基础页!$B$22)*基础页!$B$15/C54)),3,-1,9999)),"")</f>
        <v/>
      </c>
    </row>
    <row r="55" spans="1:9" ht="20.25" customHeight="1">
      <c r="A55" s="55"/>
      <c r="B55" s="55"/>
      <c r="F55" s="4"/>
      <c r="G55" s="27" t="str">
        <f t="shared" si="0"/>
        <v/>
      </c>
      <c r="H55" s="4"/>
      <c r="I55" s="4" t="str">
        <f>IFERROR(IF(H55="ND","ND",XiuYue((((H55-基础页!$B$22)*基础页!$B$15/C55)),3,-1,9999)),"")</f>
        <v/>
      </c>
    </row>
    <row r="56" spans="1:9" ht="20.25" customHeight="1">
      <c r="A56" s="55"/>
      <c r="B56" s="55"/>
      <c r="F56" s="4"/>
      <c r="G56" s="27" t="str">
        <f t="shared" si="0"/>
        <v/>
      </c>
      <c r="H56" s="4"/>
      <c r="I56" s="4" t="str">
        <f>IFERROR(IF(H56="ND","ND",XiuYue((((H56-基础页!$B$22)*基础页!$B$15/C56)),3,-1,9999)),"")</f>
        <v/>
      </c>
    </row>
    <row r="57" spans="1:9" ht="20.25" customHeight="1">
      <c r="A57" s="55"/>
      <c r="B57" s="55"/>
      <c r="F57" s="4"/>
      <c r="G57" s="27" t="str">
        <f t="shared" si="0"/>
        <v/>
      </c>
      <c r="H57" s="4"/>
      <c r="I57" s="4" t="str">
        <f>IFERROR(IF(H57="ND","ND",XiuYue((((H57-基础页!$B$22)*基础页!$B$15/C57)),3,-1,9999)),"")</f>
        <v/>
      </c>
    </row>
    <row r="58" spans="1:9" ht="20.25" customHeight="1">
      <c r="A58" s="55"/>
      <c r="B58" s="55"/>
      <c r="F58" s="4"/>
      <c r="G58" s="27" t="str">
        <f t="shared" si="0"/>
        <v/>
      </c>
      <c r="H58" s="4"/>
      <c r="I58" s="4" t="str">
        <f>IFERROR(IF(H58="ND","ND",XiuYue((((H58-基础页!$B$22)*基础页!$B$15/C58)),3,-1,9999)),"")</f>
        <v/>
      </c>
    </row>
    <row r="59" spans="1:9" ht="20.25" customHeight="1">
      <c r="A59" s="55"/>
      <c r="B59" s="55"/>
      <c r="F59" s="4"/>
      <c r="G59" s="27" t="str">
        <f t="shared" si="0"/>
        <v/>
      </c>
      <c r="H59" s="4"/>
      <c r="I59" s="4" t="str">
        <f>IFERROR(IF(H59="ND","ND",XiuYue((((H59-基础页!$B$22)*基础页!$B$15/C59)),3,-1,9999)),"")</f>
        <v/>
      </c>
    </row>
    <row r="60" spans="1:9" ht="20.25" customHeight="1">
      <c r="A60" s="55"/>
      <c r="B60" s="55"/>
      <c r="F60" s="4"/>
      <c r="G60" s="27" t="str">
        <f t="shared" si="0"/>
        <v/>
      </c>
      <c r="H60" s="4"/>
      <c r="I60" s="4" t="str">
        <f>IFERROR(IF(H60="ND","ND",XiuYue((((H60-基础页!$B$22)*基础页!$B$15/C60)),3,-1,9999)),"")</f>
        <v/>
      </c>
    </row>
    <row r="61" spans="1:9" ht="20.25" customHeight="1">
      <c r="A61" s="55"/>
      <c r="B61" s="55"/>
      <c r="F61" s="4"/>
      <c r="G61" s="27" t="str">
        <f t="shared" si="0"/>
        <v/>
      </c>
      <c r="H61" s="4"/>
      <c r="I61" s="4" t="str">
        <f>IFERROR(IF(H61="ND","ND",XiuYue((((H61-基础页!$B$22)*基础页!$B$15/C61)),3,-1,9999)),"")</f>
        <v/>
      </c>
    </row>
    <row r="62" spans="1:9" ht="20.25" customHeight="1">
      <c r="A62" s="55"/>
      <c r="B62" s="55"/>
      <c r="F62" s="4"/>
      <c r="G62" s="27" t="str">
        <f t="shared" si="0"/>
        <v/>
      </c>
      <c r="H62" s="4"/>
      <c r="I62" s="4" t="str">
        <f>IFERROR(IF(H62="ND","ND",XiuYue((((H62-基础页!$B$22)*基础页!$B$15/C62)),3,-1,9999)),"")</f>
        <v/>
      </c>
    </row>
    <row r="63" spans="1:9" ht="20.25" customHeight="1">
      <c r="A63" s="55"/>
      <c r="B63" s="55"/>
      <c r="F63" s="4"/>
      <c r="G63" s="27" t="str">
        <f t="shared" si="0"/>
        <v/>
      </c>
      <c r="H63" s="4"/>
      <c r="I63" s="4" t="str">
        <f>IFERROR(IF(H63="ND","ND",XiuYue((((H63-基础页!$B$22)*基础页!$B$15/C63)),3,-1,9999)),"")</f>
        <v/>
      </c>
    </row>
    <row r="64" spans="1:9" ht="20.25" customHeight="1">
      <c r="A64" s="55"/>
      <c r="B64" s="55"/>
      <c r="F64" s="4"/>
      <c r="G64" s="27" t="str">
        <f t="shared" si="0"/>
        <v/>
      </c>
      <c r="H64" s="4"/>
      <c r="I64" s="4" t="str">
        <f>IFERROR(IF(H64="ND","ND",XiuYue((((H64-基础页!$B$22)*基础页!$B$15/C64)),3,-1,9999)),"")</f>
        <v/>
      </c>
    </row>
    <row r="65" spans="1:9" ht="20.25" customHeight="1">
      <c r="A65" s="55"/>
      <c r="B65" s="55"/>
      <c r="F65" s="4"/>
      <c r="G65" s="27" t="str">
        <f t="shared" si="0"/>
        <v/>
      </c>
      <c r="H65" s="4"/>
      <c r="I65" s="4" t="str">
        <f>IFERROR(IF(H65="ND","ND",XiuYue((((H65-基础页!$B$22)*基础页!$B$15/C65)),3,-1,9999)),"")</f>
        <v/>
      </c>
    </row>
    <row r="66" spans="1:9" ht="20.25" customHeight="1">
      <c r="A66" s="55"/>
      <c r="B66" s="55"/>
      <c r="F66" s="4"/>
      <c r="G66" s="27" t="str">
        <f t="shared" si="0"/>
        <v/>
      </c>
      <c r="H66" s="4"/>
      <c r="I66" s="4" t="str">
        <f>IFERROR(IF(H66="ND","ND",XiuYue((((H66-基础页!$B$22)*基础页!$B$15/C66)),3,-1,9999)),"")</f>
        <v/>
      </c>
    </row>
    <row r="67" spans="1:9" ht="20.25" customHeight="1">
      <c r="A67" s="55"/>
      <c r="B67" s="55"/>
      <c r="F67" s="4"/>
      <c r="G67" s="27" t="str">
        <f t="shared" si="0"/>
        <v/>
      </c>
      <c r="H67" s="4"/>
      <c r="I67" s="4" t="str">
        <f>IFERROR(IF(H67="ND","ND",XiuYue((((H67-基础页!$B$22)*基础页!$B$15/C67)),3,-1,9999)),"")</f>
        <v/>
      </c>
    </row>
    <row r="68" spans="1:9" ht="20.25" customHeight="1">
      <c r="A68" s="55"/>
      <c r="B68" s="55"/>
      <c r="F68" s="4"/>
      <c r="G68" s="27" t="str">
        <f t="shared" si="0"/>
        <v/>
      </c>
      <c r="H68" s="4"/>
      <c r="I68" s="4" t="str">
        <f>IFERROR(IF(H68="ND","ND",XiuYue((((H68-基础页!$B$22)*基础页!$B$15/C68)),3,-1,9999)),"")</f>
        <v/>
      </c>
    </row>
    <row r="69" spans="1:9" ht="20.25" customHeight="1">
      <c r="A69" s="55"/>
      <c r="B69" s="55"/>
      <c r="F69" s="4"/>
      <c r="G69" s="27" t="str">
        <f t="shared" si="0"/>
        <v/>
      </c>
      <c r="H69" s="4"/>
      <c r="I69" s="4" t="str">
        <f>IFERROR(IF(H69="ND","ND",XiuYue((((H69-基础页!$B$22)*基础页!$B$15/C69)),3,-1,9999)),"")</f>
        <v/>
      </c>
    </row>
    <row r="70" spans="1:9" ht="20.25" customHeight="1">
      <c r="A70" s="55"/>
      <c r="B70" s="55"/>
      <c r="F70" s="4"/>
      <c r="G70" s="27" t="str">
        <f t="shared" ref="G70:G129" si="1">IFERROR(IF(ISBLANK(H70),"",IF(I70="ND","否","是")),"")</f>
        <v/>
      </c>
      <c r="H70" s="4"/>
      <c r="I70" s="4" t="str">
        <f>IFERROR(IF(H70="ND","ND",XiuYue((((H70-基础页!$B$22)*基础页!$B$15/C70)),3,-1,9999)),"")</f>
        <v/>
      </c>
    </row>
    <row r="71" spans="1:9" ht="20.25" customHeight="1">
      <c r="A71" s="55"/>
      <c r="B71" s="55"/>
      <c r="F71" s="4"/>
      <c r="G71" s="27" t="str">
        <f t="shared" si="1"/>
        <v/>
      </c>
      <c r="H71" s="4"/>
      <c r="I71" s="4" t="str">
        <f>IFERROR(IF(H71="ND","ND",XiuYue((((H71-基础页!$B$22)*基础页!$B$15/C71)),3,-1,9999)),"")</f>
        <v/>
      </c>
    </row>
    <row r="72" spans="1:9" ht="20.25" customHeight="1">
      <c r="A72" s="55"/>
      <c r="B72" s="55"/>
      <c r="F72" s="4"/>
      <c r="G72" s="27" t="str">
        <f t="shared" si="1"/>
        <v/>
      </c>
      <c r="H72" s="4"/>
      <c r="I72" s="4" t="str">
        <f>IFERROR(IF(H72="ND","ND",XiuYue((((H72-基础页!$B$22)*基础页!$B$15/C72)),3,-1,9999)),"")</f>
        <v/>
      </c>
    </row>
    <row r="73" spans="1:9" ht="20.25" customHeight="1">
      <c r="A73" s="55"/>
      <c r="B73" s="55"/>
      <c r="F73" s="4"/>
      <c r="G73" s="27" t="str">
        <f t="shared" si="1"/>
        <v/>
      </c>
      <c r="H73" s="4"/>
      <c r="I73" s="4" t="str">
        <f>IFERROR(IF(H73="ND","ND",XiuYue((((H73-基础页!$B$22)*基础页!$B$15/C73)),3,-1,9999)),"")</f>
        <v/>
      </c>
    </row>
    <row r="74" spans="1:9" ht="20.25" customHeight="1">
      <c r="A74" s="55"/>
      <c r="B74" s="55"/>
      <c r="F74" s="4"/>
      <c r="G74" s="27" t="str">
        <f t="shared" si="1"/>
        <v/>
      </c>
      <c r="H74" s="4"/>
      <c r="I74" s="4" t="str">
        <f>IFERROR(IF(H74="ND","ND",XiuYue((((H74-基础页!$B$22)*基础页!$B$15/C74)),3,-1,9999)),"")</f>
        <v/>
      </c>
    </row>
    <row r="75" spans="1:9" ht="20.25" customHeight="1">
      <c r="A75" s="55"/>
      <c r="B75" s="55"/>
      <c r="F75" s="4"/>
      <c r="G75" s="27" t="str">
        <f t="shared" si="1"/>
        <v/>
      </c>
      <c r="H75" s="4"/>
      <c r="I75" s="4" t="str">
        <f>IFERROR(IF(H75="ND","ND",XiuYue((((H75-基础页!$B$22)*基础页!$B$15/C75)),3,-1,9999)),"")</f>
        <v/>
      </c>
    </row>
    <row r="76" spans="1:9" ht="20.25" customHeight="1">
      <c r="A76" s="55"/>
      <c r="B76" s="55"/>
      <c r="F76" s="4"/>
      <c r="G76" s="27" t="str">
        <f t="shared" si="1"/>
        <v/>
      </c>
      <c r="H76" s="4"/>
      <c r="I76" s="4" t="str">
        <f>IFERROR(IF(H76="ND","ND",XiuYue((((H76-基础页!$B$22)*基础页!$B$15/C76)),3,-1,9999)),"")</f>
        <v/>
      </c>
    </row>
    <row r="77" spans="1:9" ht="20.25" customHeight="1">
      <c r="A77" s="55"/>
      <c r="B77" s="55"/>
      <c r="F77" s="4"/>
      <c r="G77" s="27" t="str">
        <f t="shared" si="1"/>
        <v/>
      </c>
      <c r="H77" s="4"/>
      <c r="I77" s="4" t="str">
        <f>IFERROR(IF(H77="ND","ND",XiuYue((((H77-基础页!$B$22)*基础页!$B$15/C77)),3,-1,9999)),"")</f>
        <v/>
      </c>
    </row>
    <row r="78" spans="1:9" ht="20.25" customHeight="1">
      <c r="A78" s="55"/>
      <c r="B78" s="55"/>
      <c r="F78" s="4"/>
      <c r="G78" s="27" t="str">
        <f t="shared" si="1"/>
        <v/>
      </c>
      <c r="H78" s="4"/>
      <c r="I78" s="4" t="str">
        <f>IFERROR(IF(H78="ND","ND",XiuYue((((H78-基础页!$B$22)*基础页!$B$15/C78)),3,-1,9999)),"")</f>
        <v/>
      </c>
    </row>
    <row r="79" spans="1:9" ht="20.25" customHeight="1">
      <c r="A79" s="55"/>
      <c r="B79" s="55"/>
      <c r="F79" s="4"/>
      <c r="G79" s="27" t="str">
        <f t="shared" si="1"/>
        <v/>
      </c>
      <c r="H79" s="4"/>
      <c r="I79" s="4" t="str">
        <f>IFERROR(IF(H79="ND","ND",XiuYue((((H79-基础页!$B$22)*基础页!$B$15/C79)),3,-1,9999)),"")</f>
        <v/>
      </c>
    </row>
    <row r="80" spans="1:9" ht="20.25" customHeight="1">
      <c r="A80" s="55"/>
      <c r="B80" s="55"/>
      <c r="F80" s="4"/>
      <c r="G80" s="27" t="str">
        <f t="shared" si="1"/>
        <v/>
      </c>
      <c r="H80" s="4"/>
      <c r="I80" s="4" t="str">
        <f>IFERROR(IF(H80="ND","ND",XiuYue((((H80-基础页!$B$22)*基础页!$B$15/C80)),3,-1,9999)),"")</f>
        <v/>
      </c>
    </row>
    <row r="81" spans="1:9" ht="20.25" customHeight="1">
      <c r="A81" s="55"/>
      <c r="B81" s="55"/>
      <c r="F81" s="4"/>
      <c r="G81" s="27" t="str">
        <f t="shared" si="1"/>
        <v/>
      </c>
      <c r="H81" s="4"/>
      <c r="I81" s="4" t="str">
        <f>IFERROR(IF(H81="ND","ND",XiuYue((((H81-基础页!$B$22)*基础页!$B$15/C81)),3,-1,9999)),"")</f>
        <v/>
      </c>
    </row>
    <row r="82" spans="1:9" ht="20.25" customHeight="1">
      <c r="A82" s="55"/>
      <c r="B82" s="55"/>
      <c r="F82" s="4"/>
      <c r="G82" s="27" t="str">
        <f t="shared" si="1"/>
        <v/>
      </c>
      <c r="H82" s="4"/>
      <c r="I82" s="4" t="str">
        <f>IFERROR(IF(H82="ND","ND",XiuYue((((H82-基础页!$B$22)*基础页!$B$15/C82)),3,-1,9999)),"")</f>
        <v/>
      </c>
    </row>
    <row r="83" spans="1:9" ht="20.25" customHeight="1">
      <c r="A83" s="55"/>
      <c r="B83" s="55"/>
      <c r="F83" s="4"/>
      <c r="G83" s="27" t="str">
        <f t="shared" si="1"/>
        <v/>
      </c>
      <c r="H83" s="4"/>
      <c r="I83" s="4" t="str">
        <f>IFERROR(IF(H83="ND","ND",XiuYue((((H83-基础页!$B$22)*基础页!$B$15/C83)),3,-1,9999)),"")</f>
        <v/>
      </c>
    </row>
    <row r="84" spans="1:9" ht="20.25" customHeight="1">
      <c r="A84" s="55"/>
      <c r="B84" s="55"/>
      <c r="F84" s="4"/>
      <c r="G84" s="27" t="str">
        <f t="shared" si="1"/>
        <v/>
      </c>
      <c r="H84" s="4"/>
      <c r="I84" s="4" t="str">
        <f>IFERROR(IF(H84="ND","ND",XiuYue((((H84-基础页!$B$22)*基础页!$B$15/C84)),3,-1,9999)),"")</f>
        <v/>
      </c>
    </row>
    <row r="85" spans="1:9" ht="20.25" customHeight="1">
      <c r="A85" s="55"/>
      <c r="B85" s="55"/>
      <c r="F85" s="4"/>
      <c r="G85" s="27" t="str">
        <f t="shared" si="1"/>
        <v/>
      </c>
      <c r="H85" s="4"/>
      <c r="I85" s="4" t="str">
        <f>IFERROR(IF(H85="ND","ND",XiuYue((((H85-基础页!$B$22)*基础页!$B$15/C85)),3,-1,9999)),"")</f>
        <v/>
      </c>
    </row>
    <row r="86" spans="1:9" ht="20.25" customHeight="1">
      <c r="A86" s="55"/>
      <c r="B86" s="55"/>
      <c r="F86" s="4"/>
      <c r="G86" s="27" t="str">
        <f t="shared" si="1"/>
        <v/>
      </c>
      <c r="H86" s="4"/>
      <c r="I86" s="4" t="str">
        <f>IFERROR(IF(H86="ND","ND",XiuYue((((H86-基础页!$B$22)*基础页!$B$15/C86)),3,-1,9999)),"")</f>
        <v/>
      </c>
    </row>
    <row r="87" spans="1:9" ht="20.25" customHeight="1">
      <c r="A87" s="55"/>
      <c r="B87" s="55"/>
      <c r="F87" s="4"/>
      <c r="G87" s="27" t="str">
        <f t="shared" si="1"/>
        <v/>
      </c>
      <c r="H87" s="4"/>
      <c r="I87" s="4" t="str">
        <f>IFERROR(IF(H87="ND","ND",XiuYue((((H87-基础页!$B$22)*基础页!$B$15/C87)),3,-1,9999)),"")</f>
        <v/>
      </c>
    </row>
    <row r="88" spans="1:9" ht="20.25" customHeight="1">
      <c r="A88" s="55"/>
      <c r="B88" s="55"/>
      <c r="F88" s="4"/>
      <c r="G88" s="27" t="str">
        <f t="shared" si="1"/>
        <v/>
      </c>
      <c r="H88" s="4"/>
      <c r="I88" s="4" t="str">
        <f>IFERROR(IF(H88="ND","ND",XiuYue((((H88-基础页!$B$22)*基础页!$B$15/C88)),3,-1,9999)),"")</f>
        <v/>
      </c>
    </row>
    <row r="89" spans="1:9" ht="20.25" customHeight="1">
      <c r="A89" s="55"/>
      <c r="B89" s="55"/>
      <c r="F89" s="4"/>
      <c r="G89" s="27" t="str">
        <f t="shared" si="1"/>
        <v/>
      </c>
      <c r="H89" s="4"/>
      <c r="I89" s="4" t="str">
        <f>IFERROR(IF(H89="ND","ND",XiuYue((((H89-基础页!$B$22)*基础页!$B$15/C89)),3,-1,9999)),"")</f>
        <v/>
      </c>
    </row>
    <row r="90" spans="1:9" ht="20.25" customHeight="1">
      <c r="A90" s="55"/>
      <c r="B90" s="55"/>
      <c r="F90" s="4"/>
      <c r="G90" s="27" t="str">
        <f t="shared" si="1"/>
        <v/>
      </c>
      <c r="H90" s="4"/>
      <c r="I90" s="4" t="str">
        <f>IFERROR(IF(H90="ND","ND",XiuYue((((H90-基础页!$B$22)*基础页!$B$15/C90)),3,-1,9999)),"")</f>
        <v/>
      </c>
    </row>
    <row r="91" spans="1:9" ht="20.25" customHeight="1">
      <c r="A91" s="55"/>
      <c r="B91" s="55"/>
      <c r="F91" s="4"/>
      <c r="G91" s="27" t="str">
        <f t="shared" si="1"/>
        <v/>
      </c>
      <c r="H91" s="4"/>
      <c r="I91" s="4" t="str">
        <f>IFERROR(IF(H91="ND","ND",XiuYue((((H91-基础页!$B$22)*基础页!$B$15/C91)),3,-1,9999)),"")</f>
        <v/>
      </c>
    </row>
    <row r="92" spans="1:9" ht="20.25" customHeight="1">
      <c r="A92" s="55"/>
      <c r="B92" s="55"/>
      <c r="F92" s="4"/>
      <c r="G92" s="27" t="str">
        <f t="shared" si="1"/>
        <v/>
      </c>
      <c r="H92" s="4"/>
      <c r="I92" s="4" t="str">
        <f>IFERROR(IF(H92="ND","ND",XiuYue((((H92-基础页!$B$22)*基础页!$B$15/C92)),3,-1,9999)),"")</f>
        <v/>
      </c>
    </row>
    <row r="93" spans="1:9" ht="20.25" customHeight="1">
      <c r="A93" s="55"/>
      <c r="B93" s="55"/>
      <c r="F93" s="4"/>
      <c r="G93" s="27" t="str">
        <f t="shared" si="1"/>
        <v/>
      </c>
      <c r="H93" s="4"/>
      <c r="I93" s="4" t="str">
        <f>IFERROR(IF(H93="ND","ND",XiuYue((((H93-基础页!$B$22)*基础页!$B$15/C93)),3,-1,9999)),"")</f>
        <v/>
      </c>
    </row>
    <row r="94" spans="1:9" ht="20.25" customHeight="1">
      <c r="A94" s="55"/>
      <c r="B94" s="55"/>
      <c r="F94" s="4"/>
      <c r="G94" s="27" t="str">
        <f t="shared" si="1"/>
        <v/>
      </c>
      <c r="H94" s="4"/>
      <c r="I94" s="4" t="str">
        <f>IFERROR(IF(H94="ND","ND",XiuYue((((H94-基础页!$B$22)*基础页!$B$15/C94)),3,-1,9999)),"")</f>
        <v/>
      </c>
    </row>
    <row r="95" spans="1:9" ht="20.25" customHeight="1">
      <c r="A95" s="55"/>
      <c r="B95" s="55"/>
      <c r="F95" s="4"/>
      <c r="G95" s="27" t="str">
        <f t="shared" si="1"/>
        <v/>
      </c>
      <c r="H95" s="4"/>
      <c r="I95" s="4" t="str">
        <f>IFERROR(IF(H95="ND","ND",XiuYue((((H95-基础页!$B$22)*基础页!$B$15/C95)),3,-1,9999)),"")</f>
        <v/>
      </c>
    </row>
    <row r="96" spans="1:9" ht="20.25" customHeight="1">
      <c r="A96" s="55"/>
      <c r="B96" s="55"/>
      <c r="F96" s="4"/>
      <c r="G96" s="27" t="str">
        <f t="shared" si="1"/>
        <v/>
      </c>
      <c r="H96" s="4"/>
      <c r="I96" s="4" t="str">
        <f>IFERROR(IF(H96="ND","ND",XiuYue((((H96-基础页!$B$22)*基础页!$B$15/C96)),3,-1,9999)),"")</f>
        <v/>
      </c>
    </row>
    <row r="97" spans="1:9" ht="20.25" customHeight="1">
      <c r="A97" s="55"/>
      <c r="B97" s="55"/>
      <c r="F97" s="4"/>
      <c r="G97" s="27" t="str">
        <f t="shared" si="1"/>
        <v/>
      </c>
      <c r="H97" s="4"/>
      <c r="I97" s="4" t="str">
        <f>IFERROR(IF(H97="ND","ND",XiuYue((((H97-基础页!$B$22)*基础页!$B$15/C97)),3,-1,9999)),"")</f>
        <v/>
      </c>
    </row>
    <row r="98" spans="1:9" ht="20.25" customHeight="1">
      <c r="A98" s="55"/>
      <c r="B98" s="55"/>
      <c r="F98" s="4"/>
      <c r="G98" s="27" t="str">
        <f t="shared" si="1"/>
        <v/>
      </c>
      <c r="H98" s="4"/>
      <c r="I98" s="4" t="str">
        <f>IFERROR(IF(H98="ND","ND",XiuYue((((H98-基础页!$B$22)*基础页!$B$15/C98)),3,-1,9999)),"")</f>
        <v/>
      </c>
    </row>
    <row r="99" spans="1:9" ht="20.25" customHeight="1">
      <c r="A99" s="55"/>
      <c r="B99" s="55"/>
      <c r="F99" s="4"/>
      <c r="G99" s="27" t="str">
        <f t="shared" si="1"/>
        <v/>
      </c>
      <c r="H99" s="4"/>
      <c r="I99" s="4" t="str">
        <f>IFERROR(IF(H99="ND","ND",XiuYue((((H99-基础页!$B$22)*基础页!$B$15/C99)),3,-1,9999)),"")</f>
        <v/>
      </c>
    </row>
    <row r="100" spans="1:9" ht="20.25" customHeight="1">
      <c r="A100" s="55"/>
      <c r="B100" s="55"/>
      <c r="F100" s="4"/>
      <c r="G100" s="27" t="str">
        <f t="shared" si="1"/>
        <v/>
      </c>
      <c r="H100" s="4"/>
      <c r="I100" s="4" t="str">
        <f>IFERROR(IF(H100="ND","ND",XiuYue((((H100-基础页!$B$22)*基础页!$B$15/C100)),3,-1,9999)),"")</f>
        <v/>
      </c>
    </row>
    <row r="101" spans="1:9" ht="20.25" customHeight="1">
      <c r="A101" s="55"/>
      <c r="B101" s="55"/>
      <c r="F101" s="4"/>
      <c r="G101" s="27" t="str">
        <f t="shared" si="1"/>
        <v/>
      </c>
      <c r="H101" s="4"/>
      <c r="I101" s="4" t="str">
        <f>IFERROR(IF(H101="ND","ND",XiuYue((((H101-基础页!$B$22)*基础页!$B$15/C101)),3,-1,9999)),"")</f>
        <v/>
      </c>
    </row>
    <row r="102" spans="1:9" ht="20.25" customHeight="1">
      <c r="A102" s="55"/>
      <c r="B102" s="55"/>
      <c r="F102" s="4"/>
      <c r="G102" s="27" t="str">
        <f t="shared" si="1"/>
        <v/>
      </c>
      <c r="H102" s="4"/>
      <c r="I102" s="4" t="str">
        <f>IFERROR(IF(H102="ND","ND",XiuYue((((H102-基础页!$B$22)*基础页!$B$15/C102)),3,-1,9999)),"")</f>
        <v/>
      </c>
    </row>
    <row r="103" spans="1:9" ht="20.25" customHeight="1">
      <c r="A103" s="55"/>
      <c r="B103" s="55"/>
      <c r="F103" s="4"/>
      <c r="G103" s="27" t="str">
        <f t="shared" si="1"/>
        <v/>
      </c>
      <c r="H103" s="4"/>
      <c r="I103" s="4" t="str">
        <f>IFERROR(IF(H103="ND","ND",XiuYue((((H103-基础页!$B$22)*基础页!$B$15/C103)),3,-1,9999)),"")</f>
        <v/>
      </c>
    </row>
    <row r="104" spans="1:9" ht="20.25" customHeight="1">
      <c r="A104" s="55"/>
      <c r="B104" s="55"/>
      <c r="F104" s="4"/>
      <c r="G104" s="27" t="str">
        <f t="shared" si="1"/>
        <v/>
      </c>
      <c r="H104" s="4"/>
      <c r="I104" s="4" t="str">
        <f>IFERROR(IF(H104="ND","ND",XiuYue((((H104-基础页!$B$22)*基础页!$B$15/C104)),3,-1,9999)),"")</f>
        <v/>
      </c>
    </row>
    <row r="105" spans="1:9" ht="20.25" customHeight="1">
      <c r="A105" s="55"/>
      <c r="B105" s="55"/>
      <c r="F105" s="4"/>
      <c r="G105" s="27" t="str">
        <f t="shared" si="1"/>
        <v/>
      </c>
      <c r="H105" s="4"/>
      <c r="I105" s="4" t="str">
        <f>IFERROR(IF(H105="ND","ND",XiuYue((((H105-基础页!$B$22)*基础页!$B$15/C105)),3,-1,9999)),"")</f>
        <v/>
      </c>
    </row>
    <row r="106" spans="1:9" ht="20.25" customHeight="1">
      <c r="A106" s="55"/>
      <c r="B106" s="55"/>
      <c r="F106" s="4"/>
      <c r="G106" s="27" t="str">
        <f t="shared" si="1"/>
        <v/>
      </c>
      <c r="H106" s="4"/>
      <c r="I106" s="4" t="str">
        <f>IFERROR(IF(H106="ND","ND",XiuYue((((H106-基础页!$B$22)*基础页!$B$15/C106)),3,-1,9999)),"")</f>
        <v/>
      </c>
    </row>
    <row r="107" spans="1:9" ht="20.25" customHeight="1">
      <c r="A107" s="55"/>
      <c r="B107" s="55"/>
      <c r="F107" s="4"/>
      <c r="G107" s="27" t="str">
        <f t="shared" si="1"/>
        <v/>
      </c>
      <c r="H107" s="4"/>
      <c r="I107" s="4" t="str">
        <f>IFERROR(IF(H107="ND","ND",XiuYue((((H107-基础页!$B$22)*基础页!$B$15/C107)),3,-1,9999)),"")</f>
        <v/>
      </c>
    </row>
    <row r="108" spans="1:9" ht="20.25" customHeight="1">
      <c r="A108" s="55"/>
      <c r="B108" s="55"/>
      <c r="F108" s="4"/>
      <c r="G108" s="27" t="str">
        <f t="shared" si="1"/>
        <v/>
      </c>
      <c r="H108" s="4"/>
      <c r="I108" s="4" t="str">
        <f>IFERROR(IF(H108="ND","ND",XiuYue((((H108-基础页!$B$22)*基础页!$B$15/C108)),3,-1,9999)),"")</f>
        <v/>
      </c>
    </row>
    <row r="109" spans="1:9" ht="20.25" customHeight="1">
      <c r="A109" s="55"/>
      <c r="B109" s="55"/>
      <c r="F109" s="4"/>
      <c r="G109" s="27" t="str">
        <f t="shared" si="1"/>
        <v/>
      </c>
      <c r="H109" s="4"/>
      <c r="I109" s="4" t="str">
        <f>IFERROR(IF(H109="ND","ND",XiuYue((((H109-基础页!$B$22)*基础页!$B$15/C109)),3,-1,9999)),"")</f>
        <v/>
      </c>
    </row>
    <row r="110" spans="1:9" ht="20.25" customHeight="1">
      <c r="A110" s="55"/>
      <c r="B110" s="55"/>
      <c r="F110" s="4"/>
      <c r="G110" s="27" t="str">
        <f t="shared" si="1"/>
        <v/>
      </c>
      <c r="H110" s="4"/>
      <c r="I110" s="4" t="str">
        <f>IFERROR(IF(H110="ND","ND",XiuYue((((H110-基础页!$B$22)*基础页!$B$15/C110)),3,-1,9999)),"")</f>
        <v/>
      </c>
    </row>
    <row r="111" spans="1:9" ht="20.25" customHeight="1">
      <c r="A111" s="55"/>
      <c r="B111" s="55"/>
      <c r="F111" s="4"/>
      <c r="G111" s="27" t="str">
        <f t="shared" si="1"/>
        <v/>
      </c>
      <c r="H111" s="4"/>
      <c r="I111" s="4" t="str">
        <f>IFERROR(IF(H111="ND","ND",XiuYue((((H111-基础页!$B$22)*基础页!$B$15/C111)),3,-1,9999)),"")</f>
        <v/>
      </c>
    </row>
    <row r="112" spans="1:9" ht="20.25" customHeight="1">
      <c r="A112" s="55"/>
      <c r="B112" s="55"/>
      <c r="F112" s="4"/>
      <c r="G112" s="27" t="str">
        <f t="shared" si="1"/>
        <v/>
      </c>
      <c r="H112" s="4"/>
      <c r="I112" s="4" t="str">
        <f>IFERROR(IF(H112="ND","ND",XiuYue((((H112-基础页!$B$22)*基础页!$B$15/C112)),3,-1,9999)),"")</f>
        <v/>
      </c>
    </row>
    <row r="113" spans="1:9" ht="20.25" customHeight="1">
      <c r="A113" s="55"/>
      <c r="B113" s="55"/>
      <c r="F113" s="4"/>
      <c r="G113" s="27" t="str">
        <f t="shared" si="1"/>
        <v/>
      </c>
      <c r="H113" s="4"/>
      <c r="I113" s="4" t="str">
        <f>IFERROR(IF(H113="ND","ND",XiuYue((((H113-基础页!$B$22)*基础页!$B$15/C113)),3,-1,9999)),"")</f>
        <v/>
      </c>
    </row>
    <row r="114" spans="1:9" ht="20.25" customHeight="1">
      <c r="A114" s="55"/>
      <c r="B114" s="55"/>
      <c r="F114" s="4"/>
      <c r="G114" s="27" t="str">
        <f t="shared" si="1"/>
        <v/>
      </c>
      <c r="H114" s="4"/>
      <c r="I114" s="4" t="str">
        <f>IFERROR(IF(H114="ND","ND",XiuYue((((H114-基础页!$B$22)*基础页!$B$15/C114)),3,-1,9999)),"")</f>
        <v/>
      </c>
    </row>
    <row r="115" spans="1:9" ht="20.25" customHeight="1">
      <c r="A115" s="55"/>
      <c r="B115" s="55"/>
      <c r="F115" s="4"/>
      <c r="G115" s="27" t="str">
        <f t="shared" si="1"/>
        <v/>
      </c>
      <c r="H115" s="4"/>
      <c r="I115" s="4" t="str">
        <f>IFERROR(IF(H115="ND","ND",XiuYue((((H115-基础页!$B$22)*基础页!$B$15/C115)),3,-1,9999)),"")</f>
        <v/>
      </c>
    </row>
    <row r="116" spans="1:9" ht="20.25" customHeight="1">
      <c r="A116" s="55"/>
      <c r="B116" s="55"/>
      <c r="F116" s="4"/>
      <c r="G116" s="27" t="str">
        <f t="shared" si="1"/>
        <v/>
      </c>
      <c r="H116" s="4"/>
      <c r="I116" s="4" t="str">
        <f>IFERROR(IF(H116="ND","ND",XiuYue((((H116-基础页!$B$22)*基础页!$B$15/C116)),3,-1,9999)),"")</f>
        <v/>
      </c>
    </row>
    <row r="117" spans="1:9" ht="20.25" customHeight="1">
      <c r="A117" s="55"/>
      <c r="B117" s="55"/>
      <c r="F117" s="4"/>
      <c r="G117" s="27" t="str">
        <f t="shared" si="1"/>
        <v/>
      </c>
      <c r="H117" s="4"/>
      <c r="I117" s="4" t="str">
        <f>IFERROR(IF(H117="ND","ND",XiuYue((((H117-基础页!$B$22)*基础页!$B$15/C117)),3,-1,9999)),"")</f>
        <v/>
      </c>
    </row>
    <row r="118" spans="1:9" ht="20.25" customHeight="1">
      <c r="A118" s="55"/>
      <c r="B118" s="55"/>
      <c r="F118" s="4"/>
      <c r="G118" s="27" t="str">
        <f t="shared" si="1"/>
        <v/>
      </c>
      <c r="H118" s="4"/>
      <c r="I118" s="4" t="str">
        <f>IFERROR(IF(H118="ND","ND",XiuYue((((H118-基础页!$B$22)*基础页!$B$15/C118)),3,-1,9999)),"")</f>
        <v/>
      </c>
    </row>
    <row r="119" spans="1:9" ht="20.25" customHeight="1">
      <c r="A119" s="55"/>
      <c r="B119" s="55"/>
      <c r="F119" s="4"/>
      <c r="G119" s="27" t="str">
        <f t="shared" si="1"/>
        <v/>
      </c>
      <c r="H119" s="4"/>
      <c r="I119" s="4" t="str">
        <f>IFERROR(IF(H119="ND","ND",XiuYue((((H119-基础页!$B$22)*基础页!$B$15/C119)),3,-1,9999)),"")</f>
        <v/>
      </c>
    </row>
    <row r="120" spans="1:9" ht="20.25" customHeight="1">
      <c r="A120" s="13"/>
      <c r="B120" s="55"/>
      <c r="F120" s="4"/>
      <c r="G120" s="27" t="str">
        <f t="shared" si="1"/>
        <v/>
      </c>
      <c r="H120" s="4"/>
      <c r="I120" s="4" t="str">
        <f>IFERROR(IF(H120="ND","ND",XiuYue((((H120-基础页!$B$22)*基础页!$B$15/C120)),3,-1,9999)),"")</f>
        <v/>
      </c>
    </row>
    <row r="121" spans="1:9" ht="20.25" customHeight="1">
      <c r="A121" s="13"/>
      <c r="B121" s="55"/>
      <c r="F121" s="4"/>
      <c r="G121" s="27" t="str">
        <f t="shared" si="1"/>
        <v/>
      </c>
      <c r="H121" s="4"/>
      <c r="I121" s="4" t="str">
        <f>IFERROR(IF(H121="ND","ND",XiuYue((((H121-基础页!$B$22)*基础页!$B$15/C121)),3,-1,9999)),"")</f>
        <v/>
      </c>
    </row>
    <row r="122" spans="1:9" ht="20.25" customHeight="1">
      <c r="A122" s="13"/>
      <c r="B122" s="55"/>
      <c r="F122" s="4"/>
      <c r="G122" s="27" t="str">
        <f t="shared" si="1"/>
        <v/>
      </c>
      <c r="H122" s="4"/>
      <c r="I122" s="4" t="str">
        <f>IFERROR(IF(H122="ND","ND",XiuYue((((H122-基础页!$B$22)*基础页!$B$15/C122)),3,-1,9999)),"")</f>
        <v/>
      </c>
    </row>
    <row r="123" spans="1:9" ht="20.25" customHeight="1">
      <c r="A123" s="13"/>
      <c r="B123" s="55"/>
      <c r="F123" s="4"/>
      <c r="G123" s="27" t="str">
        <f t="shared" si="1"/>
        <v/>
      </c>
      <c r="H123" s="4"/>
      <c r="I123" s="4" t="str">
        <f>IFERROR(IF(H123="ND","ND",XiuYue((((H123-基础页!$B$22)*基础页!$B$15/C123)),3,-1,9999)),"")</f>
        <v/>
      </c>
    </row>
    <row r="124" spans="1:9" ht="20.25" customHeight="1">
      <c r="A124" s="13"/>
      <c r="B124" s="55"/>
      <c r="F124" s="4"/>
      <c r="G124" s="27" t="str">
        <f t="shared" si="1"/>
        <v/>
      </c>
      <c r="H124" s="4"/>
      <c r="I124" s="4" t="str">
        <f>IFERROR(IF(H124="ND","ND",XiuYue((((H124-基础页!$B$22)*基础页!$B$15/C124)),3,-1,9999)),"")</f>
        <v/>
      </c>
    </row>
    <row r="125" spans="1:9" ht="20.25" customHeight="1">
      <c r="A125" s="13"/>
      <c r="B125" s="55"/>
      <c r="F125" s="4"/>
      <c r="G125" s="27" t="str">
        <f t="shared" si="1"/>
        <v/>
      </c>
      <c r="H125" s="4"/>
      <c r="I125" s="4" t="str">
        <f>IFERROR(IF(H125="ND","ND",XiuYue((((H125-基础页!$B$22)*基础页!$B$15/C125)),3,-1,9999)),"")</f>
        <v/>
      </c>
    </row>
    <row r="126" spans="1:9" ht="20.25" customHeight="1">
      <c r="A126" s="13"/>
      <c r="B126" s="55"/>
      <c r="F126" s="4"/>
      <c r="G126" s="27" t="str">
        <f t="shared" si="1"/>
        <v/>
      </c>
      <c r="H126" s="4"/>
      <c r="I126" s="4" t="str">
        <f>IFERROR(IF(H126="ND","ND",XiuYue((((H126-基础页!$B$22)*基础页!$B$15/C126)),3,-1,9999)),"")</f>
        <v/>
      </c>
    </row>
    <row r="127" spans="1:9" ht="20.25" customHeight="1">
      <c r="A127" s="13"/>
      <c r="B127" s="55"/>
      <c r="F127" s="4"/>
      <c r="G127" s="27" t="str">
        <f t="shared" si="1"/>
        <v/>
      </c>
      <c r="H127" s="4"/>
      <c r="I127" s="4" t="str">
        <f>IFERROR(IF(H127="ND","ND",XiuYue((((H127-基础页!$B$22)*基础页!$B$15/C127)),3,-1,9999)),"")</f>
        <v/>
      </c>
    </row>
    <row r="128" spans="1:9" ht="20.25" customHeight="1">
      <c r="A128" s="13"/>
      <c r="B128" s="55"/>
      <c r="F128" s="4"/>
      <c r="G128" s="27" t="str">
        <f t="shared" si="1"/>
        <v/>
      </c>
      <c r="H128" s="4"/>
      <c r="I128" s="4" t="str">
        <f>IFERROR(IF(H128="ND","ND",XiuYue((((H128-基础页!$B$22)*基础页!$B$15/C128)),3,-1,9999)),"")</f>
        <v/>
      </c>
    </row>
    <row r="129" spans="1:9" ht="20.25" customHeight="1">
      <c r="A129" s="13"/>
      <c r="B129" s="55"/>
      <c r="G129" s="27" t="str">
        <f t="shared" si="1"/>
        <v/>
      </c>
      <c r="I129" s="11" t="str">
        <f>IFERROR(IF(H129="ND","ND",XiuYue((((H129-基础页!$B$22)*基础页!$B$15/C129)),3,-1,9999)),"")</f>
        <v/>
      </c>
    </row>
    <row r="130" spans="1:9" ht="20.25" customHeight="1">
      <c r="A130" s="13"/>
      <c r="B130" s="55"/>
      <c r="I130" s="11" t="str">
        <f>IFERROR(IF(H130="ND","ND",XiuYue((((H130-基础页!$B$22)*基础页!$B$15/C130)),3,-1,9999)),"")</f>
        <v/>
      </c>
    </row>
    <row r="131" spans="1:9" ht="20.25" customHeight="1">
      <c r="A131" s="13"/>
      <c r="B131" s="55"/>
      <c r="I131" s="11" t="str">
        <f>IFERROR(IF(H131="ND","ND",XiuYue((((H131-基础页!$B$22)*基础页!$B$15/C131)),3,-1,9999)),"")</f>
        <v/>
      </c>
    </row>
    <row r="132" spans="1:9" ht="20.25" customHeight="1">
      <c r="A132" s="13"/>
      <c r="B132" s="55"/>
      <c r="I132" s="11" t="str">
        <f>IFERROR(IF(H132="ND","ND",XiuYue((((H132-基础页!$B$22)*基础页!$B$15/C132)),3,-1,9999)),"")</f>
        <v/>
      </c>
    </row>
    <row r="133" spans="1:9" ht="20.25" customHeight="1">
      <c r="A133" s="13"/>
      <c r="B133" s="55"/>
      <c r="I133" s="11" t="str">
        <f>IFERROR(IF(H133="ND","ND",XiuYue((((H133-基础页!$B$22)*基础页!$B$15/C133)),3,-1,9999)),"")</f>
        <v/>
      </c>
    </row>
    <row r="134" spans="1:9" ht="20.25" customHeight="1">
      <c r="A134" s="13"/>
      <c r="B134" s="55"/>
      <c r="I134" s="11" t="str">
        <f>IFERROR(IF(H134="ND","ND",XiuYue((((H134-基础页!$B$22)*基础页!$B$15/C134)),3,-1,9999)),"")</f>
        <v/>
      </c>
    </row>
    <row r="135" spans="1:9" ht="20.25" customHeight="1">
      <c r="A135" s="13"/>
      <c r="B135" s="55"/>
      <c r="I135" s="11" t="str">
        <f>IFERROR(IF(H135="ND","ND",XiuYue((((H135-基础页!$B$22)*基础页!$B$15/C135)),3,-1,9999)),"")</f>
        <v/>
      </c>
    </row>
    <row r="136" spans="1:9" ht="20.25" customHeight="1">
      <c r="A136" s="13"/>
      <c r="B136" s="55"/>
      <c r="I136" s="11" t="str">
        <f>IFERROR(IF(H136="ND","ND",XiuYue((((H136-基础页!$B$22)*基础页!$B$15/C136)),3,-1,9999)),"")</f>
        <v/>
      </c>
    </row>
    <row r="137" spans="1:9" ht="20.25" customHeight="1">
      <c r="A137" s="13"/>
      <c r="B137" s="55"/>
      <c r="I137" s="11" t="str">
        <f>IFERROR(IF(H137="ND","ND",XiuYue((((H137-基础页!$B$22)*基础页!$B$15/C137)),3,-1,9999)),"")</f>
        <v/>
      </c>
    </row>
    <row r="138" spans="1:9" ht="20.25" customHeight="1"/>
    <row r="139" spans="1:9" ht="20.25" customHeight="1"/>
    <row r="140" spans="1:9" ht="20.25" customHeight="1"/>
    <row r="141" spans="1:9" ht="20.25" customHeight="1"/>
    <row r="142" spans="1:9" ht="20.25" customHeight="1"/>
    <row r="143" spans="1:9" ht="20.25" customHeight="1"/>
    <row r="144" spans="1:9" ht="20.25" customHeight="1"/>
    <row r="145" ht="20.25" customHeight="1"/>
    <row r="146" ht="20.25" customHeight="1"/>
    <row r="147" ht="20.25" customHeight="1"/>
    <row r="148" ht="20.25" customHeight="1"/>
    <row r="149" ht="20.25" customHeight="1"/>
    <row r="150" ht="20.25" customHeight="1"/>
    <row r="151" ht="20.25" customHeight="1"/>
    <row r="152" ht="20.25" customHeight="1"/>
    <row r="153" ht="20.25" customHeight="1"/>
    <row r="154" ht="20.25" customHeight="1"/>
    <row r="155" ht="20.25" customHeight="1"/>
    <row r="156" ht="20.25" customHeight="1"/>
    <row r="157" ht="20.25" customHeight="1"/>
    <row r="158" ht="20.25" customHeight="1"/>
    <row r="159" ht="20.25" customHeight="1"/>
    <row r="160" ht="20.25" customHeight="1"/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J3:J4"/>
    <mergeCell ref="K3:K4"/>
    <mergeCell ref="L3:L4"/>
    <mergeCell ref="M3:M4"/>
    <mergeCell ref="N3:N4"/>
    <mergeCell ref="O2:O4"/>
    <mergeCell ref="A1:J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</mergeCells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2021-10-20T01:24:45Z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