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lims\webNew2021\PeiZhi\FJHY\Lims\FenXi\1\"/>
    </mc:Choice>
  </mc:AlternateContent>
  <workbookProtection workbookAlgorithmName="SHA-512" workbookHashValue="eCTiqCspc7EMxjzATmK0jM12NWKnNfBc0EKhmo2u/GaWmvTJB2hNotT00NIUa5BYTbH9jxumHpi+3v6sp4n0sQ==" workbookSaltValue="xU1ZFQL9KPsbkQ5Tf/Swig==" workbookSpinCount="100000" lockStructure="1"/>
  <bookViews>
    <workbookView xWindow="0" yWindow="0" windowWidth="22368" windowHeight="10308" activeTab="1"/>
  </bookViews>
  <sheets>
    <sheet name="基础页" sheetId="5" r:id="rId1"/>
    <sheet name="分析记录" sheetId="10" r:id="rId2"/>
  </sheets>
  <functionGroups builtInGroupCount="18"/>
  <calcPr calcId="152511"/>
</workbook>
</file>

<file path=xl/calcChain.xml><?xml version="1.0" encoding="utf-8"?>
<calcChain xmlns="http://schemas.openxmlformats.org/spreadsheetml/2006/main">
  <c r="H6" i="10" l="1"/>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5" i="10"/>
  <c r="E24" i="5" l="1"/>
  <c r="B13" i="5"/>
  <c r="J235" i="10"/>
  <c r="J234" i="10"/>
  <c r="J233" i="10"/>
  <c r="J232" i="10"/>
  <c r="J231" i="10"/>
  <c r="J230" i="10"/>
  <c r="J229" i="10"/>
  <c r="J228" i="10"/>
  <c r="J227" i="10"/>
  <c r="J226" i="10"/>
  <c r="J225" i="10"/>
  <c r="J224" i="10"/>
  <c r="J223" i="10"/>
  <c r="J222" i="10"/>
  <c r="J221" i="10"/>
  <c r="J220" i="10"/>
  <c r="J219" i="10"/>
  <c r="J218" i="10"/>
  <c r="J217" i="10"/>
  <c r="J216" i="10"/>
  <c r="J215" i="10"/>
  <c r="J214" i="10"/>
  <c r="J213" i="10"/>
  <c r="J212" i="10"/>
  <c r="J211" i="10"/>
  <c r="J210" i="10"/>
  <c r="J209" i="10"/>
  <c r="J208" i="10"/>
  <c r="J207" i="10"/>
  <c r="J206" i="10"/>
  <c r="J205" i="10"/>
  <c r="J204" i="10"/>
  <c r="J203" i="10"/>
  <c r="J202" i="10"/>
  <c r="J201" i="10"/>
  <c r="J200" i="10"/>
  <c r="J199" i="10"/>
  <c r="J198" i="10"/>
  <c r="J197" i="10"/>
  <c r="J196" i="10"/>
  <c r="J195" i="10"/>
  <c r="J194" i="10"/>
  <c r="J193" i="10"/>
  <c r="J192" i="10"/>
  <c r="J191" i="10"/>
  <c r="J190" i="10"/>
  <c r="J189" i="10"/>
  <c r="J188" i="10"/>
  <c r="J187" i="10"/>
  <c r="J186" i="10"/>
  <c r="J185" i="10"/>
  <c r="J184" i="10"/>
  <c r="J183" i="10"/>
  <c r="J182" i="10"/>
  <c r="J181" i="10"/>
  <c r="J180" i="10"/>
  <c r="J179" i="10"/>
  <c r="J178" i="10"/>
  <c r="J177" i="10"/>
  <c r="J176" i="10"/>
  <c r="J175" i="10"/>
  <c r="J174" i="10"/>
  <c r="J173" i="10"/>
  <c r="J172" i="10"/>
  <c r="J171" i="10"/>
  <c r="J170" i="10"/>
  <c r="J169" i="10"/>
  <c r="J168" i="10"/>
  <c r="J167" i="10"/>
  <c r="J166" i="10"/>
  <c r="J165" i="10"/>
  <c r="J164" i="10"/>
  <c r="J163" i="10"/>
  <c r="J162" i="10"/>
  <c r="J161" i="10"/>
  <c r="J160" i="10"/>
  <c r="J159" i="10"/>
  <c r="J158" i="10"/>
  <c r="J157" i="10"/>
  <c r="J156" i="10"/>
  <c r="J155" i="10"/>
  <c r="J154" i="10"/>
  <c r="J153" i="10"/>
  <c r="J152" i="10"/>
  <c r="J151" i="10"/>
  <c r="J150" i="10"/>
  <c r="J149" i="10"/>
  <c r="J148" i="10"/>
  <c r="J147" i="10"/>
  <c r="J146" i="10"/>
  <c r="J145" i="10"/>
  <c r="J144" i="10"/>
  <c r="J143" i="10"/>
  <c r="J142" i="10"/>
  <c r="J141" i="10"/>
  <c r="J140" i="10"/>
  <c r="J139" i="10"/>
  <c r="J138" i="10"/>
  <c r="J137" i="10"/>
  <c r="J136" i="10"/>
  <c r="J135" i="10"/>
  <c r="J134" i="10"/>
  <c r="J133"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G89" i="10"/>
  <c r="J88" i="10"/>
  <c r="G88" i="10"/>
  <c r="J87" i="10"/>
  <c r="G87" i="10"/>
  <c r="J86" i="10"/>
  <c r="G86" i="10"/>
  <c r="J85" i="10"/>
  <c r="G85" i="10"/>
  <c r="J84" i="10"/>
  <c r="G84" i="10"/>
  <c r="J83" i="10"/>
  <c r="G83" i="10"/>
  <c r="J82" i="10"/>
  <c r="G82" i="10"/>
  <c r="J81" i="10"/>
  <c r="G81" i="10"/>
  <c r="J80" i="10"/>
  <c r="G80" i="10"/>
  <c r="J79" i="10"/>
  <c r="G79" i="10"/>
  <c r="J78" i="10"/>
  <c r="G78" i="10"/>
  <c r="J77" i="10"/>
  <c r="G77" i="10"/>
  <c r="J76" i="10"/>
  <c r="G76" i="10"/>
  <c r="J75" i="10"/>
  <c r="G75" i="10"/>
  <c r="J74" i="10"/>
  <c r="G74" i="10"/>
  <c r="J73" i="10"/>
  <c r="G73" i="10"/>
  <c r="J72" i="10"/>
  <c r="G72" i="10"/>
  <c r="J71" i="10"/>
  <c r="G71" i="10"/>
  <c r="J70" i="10"/>
  <c r="G70" i="10"/>
  <c r="J69" i="10"/>
  <c r="G69" i="10"/>
  <c r="J68" i="10"/>
  <c r="G68" i="10"/>
  <c r="J67" i="10"/>
  <c r="G67" i="10"/>
  <c r="J66" i="10"/>
  <c r="G66" i="10"/>
  <c r="J65" i="10"/>
  <c r="G65" i="10"/>
  <c r="J64" i="10"/>
  <c r="G64" i="10"/>
  <c r="J63" i="10"/>
  <c r="G63" i="10"/>
  <c r="J62" i="10"/>
  <c r="G62" i="10"/>
  <c r="J61" i="10"/>
  <c r="G61" i="10"/>
  <c r="J60" i="10"/>
  <c r="G60" i="10"/>
  <c r="J59" i="10"/>
  <c r="G59" i="10"/>
  <c r="J58" i="10"/>
  <c r="G58" i="10"/>
  <c r="J57" i="10"/>
  <c r="G57" i="10"/>
  <c r="J56" i="10"/>
  <c r="G56" i="10"/>
  <c r="J55" i="10"/>
  <c r="G55" i="10"/>
  <c r="J54" i="10"/>
  <c r="G54" i="10"/>
  <c r="J53" i="10"/>
  <c r="G53" i="10"/>
  <c r="J52" i="10"/>
  <c r="G52" i="10"/>
  <c r="J51" i="10"/>
  <c r="G51" i="10"/>
  <c r="J50" i="10"/>
  <c r="G50" i="10"/>
  <c r="J49" i="10"/>
  <c r="G49" i="10"/>
  <c r="J48" i="10"/>
  <c r="G48" i="10"/>
  <c r="J47" i="10"/>
  <c r="G47" i="10"/>
  <c r="J46" i="10"/>
  <c r="G46" i="10"/>
  <c r="J45" i="10"/>
  <c r="G45" i="10"/>
  <c r="J44" i="10"/>
  <c r="G44" i="10"/>
  <c r="J43" i="10"/>
  <c r="G43" i="10"/>
  <c r="J42" i="10"/>
  <c r="G42" i="10"/>
  <c r="J41" i="10"/>
  <c r="G41" i="10"/>
  <c r="J40" i="10"/>
  <c r="G40" i="10"/>
  <c r="J39" i="10"/>
  <c r="G39" i="10"/>
  <c r="J38" i="10"/>
  <c r="G38" i="10"/>
  <c r="J37" i="10"/>
  <c r="G37" i="10"/>
  <c r="J36" i="10"/>
  <c r="G36" i="10"/>
  <c r="J35" i="10"/>
  <c r="G35" i="10"/>
  <c r="J34" i="10"/>
  <c r="G34" i="10"/>
  <c r="J33" i="10"/>
  <c r="G33" i="10"/>
  <c r="J32" i="10"/>
  <c r="G32" i="10"/>
  <c r="J31" i="10"/>
  <c r="G31" i="10"/>
  <c r="J30" i="10"/>
  <c r="G30" i="10"/>
  <c r="J29" i="10"/>
  <c r="G29" i="10"/>
  <c r="J28" i="10"/>
  <c r="G28" i="10"/>
  <c r="J27" i="10"/>
  <c r="G27" i="10"/>
  <c r="J26" i="10"/>
  <c r="G26" i="10"/>
  <c r="J25" i="10"/>
  <c r="G25" i="10"/>
  <c r="J24" i="10"/>
  <c r="G24" i="10"/>
  <c r="J23" i="10"/>
  <c r="G23" i="10"/>
  <c r="J22" i="10"/>
  <c r="G22" i="10"/>
  <c r="J21" i="10"/>
  <c r="G21" i="10"/>
  <c r="J20" i="10"/>
  <c r="G20" i="10"/>
  <c r="J19" i="10"/>
  <c r="G19" i="10"/>
  <c r="J18" i="10"/>
  <c r="G18" i="10"/>
  <c r="J17" i="10"/>
  <c r="G17" i="10"/>
  <c r="J16" i="10"/>
  <c r="G16" i="10"/>
  <c r="J15" i="10"/>
  <c r="G15" i="10"/>
  <c r="J14" i="10"/>
  <c r="G14" i="10"/>
  <c r="J13" i="10"/>
  <c r="G13" i="10"/>
  <c r="J12" i="10"/>
  <c r="G12" i="10"/>
  <c r="J11" i="10"/>
  <c r="G11" i="10"/>
  <c r="J10" i="10"/>
  <c r="G10" i="10"/>
  <c r="J9" i="10"/>
  <c r="G9" i="10"/>
  <c r="J8" i="10"/>
  <c r="G8" i="10"/>
  <c r="J7" i="10"/>
  <c r="G7" i="10"/>
  <c r="J6" i="10"/>
  <c r="G6" i="10"/>
  <c r="J5" i="10"/>
  <c r="G5" i="10"/>
</calcChain>
</file>

<file path=xl/sharedStrings.xml><?xml version="1.0" encoding="utf-8"?>
<sst xmlns="http://schemas.openxmlformats.org/spreadsheetml/2006/main" count="100" uniqueCount="100">
  <si>
    <r>
      <rPr>
        <b/>
        <sz val="11"/>
        <color theme="0"/>
        <rFont val="宋体"/>
        <family val="3"/>
        <charset val="134"/>
      </rPr>
      <t>基本信息</t>
    </r>
  </si>
  <si>
    <t xml:space="preserve"> </t>
  </si>
  <si>
    <t>模板编号</t>
  </si>
  <si>
    <t>科学</t>
  </si>
  <si>
    <t>严谨</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</si>
  <si>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AS004</t>
    </r>
  </si>
  <si>
    <t xml:space="preserve"> Agilent 6890N</t>
  </si>
  <si>
    <t>任务号</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</si>
  <si>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AS471</t>
    </r>
  </si>
  <si>
    <t xml:space="preserve"> Clarus 680</t>
  </si>
  <si>
    <t>任务名称</t>
  </si>
  <si>
    <r>
      <rPr>
        <sz val="11"/>
        <color theme="0" tint="-4.9989318521683403E-2"/>
        <rFont val="宋体"/>
        <family val="3"/>
        <charset val="134"/>
      </rPr>
      <t xml:space="preserve"> 气相色谱仪</t>
    </r>
    <r>
      <rPr>
        <sz val="11"/>
        <color theme="0" tint="-4.9989318521683403E-2"/>
        <rFont val="Times New Roman"/>
        <family val="1"/>
      </rPr>
      <t>AS530</t>
    </r>
  </si>
  <si>
    <t>NexisGC-2030</t>
  </si>
  <si>
    <t>检测日期</t>
  </si>
  <si>
    <t>安全</t>
  </si>
  <si>
    <t>高效</t>
  </si>
  <si>
    <r>
      <rPr>
        <sz val="11"/>
        <color theme="0" tint="-4.9989318521683403E-2"/>
        <rFont val="Times New Roman"/>
        <family val="1"/>
      </rPr>
      <t xml:space="preserve">  </t>
    </r>
    <r>
      <rPr>
        <sz val="11"/>
        <color theme="0" tint="-4.9989318521683403E-2"/>
        <rFont val="宋体"/>
        <family val="3"/>
        <charset val="134"/>
      </rPr>
      <t>气相色谱仪</t>
    </r>
    <r>
      <rPr>
        <sz val="11"/>
        <color theme="0" tint="-4.9989318521683403E-2"/>
        <rFont val="Times New Roman"/>
        <family val="1"/>
      </rPr>
      <t>AS007</t>
    </r>
  </si>
  <si>
    <t>Agilent6890N</t>
  </si>
  <si>
    <t>样品类别</t>
  </si>
  <si>
    <t>水产品</t>
  </si>
  <si>
    <r>
      <rPr>
        <sz val="11"/>
        <color theme="0" tint="-4.9989318521683403E-2"/>
        <rFont val="宋体"/>
        <family val="3"/>
        <charset val="134"/>
      </rPr>
      <t>气质联用仪</t>
    </r>
    <r>
      <rPr>
        <sz val="11"/>
        <color theme="0" tint="-4.9989318521683403E-2"/>
        <rFont val="Times New Roman"/>
        <family val="1"/>
      </rPr>
      <t>AS340</t>
    </r>
  </si>
  <si>
    <t xml:space="preserve">   Agilent7890B/5977A</t>
  </si>
  <si>
    <t>检测地点</t>
  </si>
  <si>
    <t>302室</t>
  </si>
  <si>
    <r>
      <rPr>
        <sz val="11"/>
        <color theme="0" tint="-4.9989318521683403E-2"/>
        <rFont val="宋体"/>
        <family val="3"/>
        <charset val="134"/>
      </rPr>
      <t>气质联用仪</t>
    </r>
    <r>
      <rPr>
        <sz val="11"/>
        <color theme="0" tint="-4.9989318521683403E-2"/>
        <rFont val="Times New Roman"/>
        <family val="1"/>
      </rPr>
      <t>AS117</t>
    </r>
  </si>
  <si>
    <t xml:space="preserve">  Agilent6890N/5975B</t>
  </si>
  <si>
    <t>检测方法</t>
  </si>
  <si>
    <t>水产品中地西泮药物残留
的测定 气相色谱-质谱法</t>
  </si>
  <si>
    <t>温度(℃)</t>
  </si>
  <si>
    <t>湿度(%)</t>
  </si>
  <si>
    <r>
      <rPr>
        <sz val="11"/>
        <color theme="1"/>
        <rFont val="宋体"/>
        <family val="3"/>
        <charset val="134"/>
      </rPr>
      <t>检出限(</t>
    </r>
    <r>
      <rPr>
        <sz val="11"/>
        <color theme="1"/>
        <rFont val="Calibri"/>
        <family val="2"/>
      </rPr>
      <t>μ</t>
    </r>
    <r>
      <rPr>
        <sz val="11"/>
        <color theme="1"/>
        <rFont val="宋体"/>
        <family val="3"/>
        <charset val="134"/>
      </rPr>
      <t>g/kg)</t>
    </r>
  </si>
  <si>
    <t>0.5</t>
  </si>
  <si>
    <r>
      <rPr>
        <b/>
        <sz val="11"/>
        <color theme="1"/>
        <rFont val="宋体"/>
        <family val="3"/>
        <charset val="134"/>
      </rPr>
      <t>说明：</t>
    </r>
  </si>
  <si>
    <r>
      <rPr>
        <sz val="11"/>
        <color theme="1"/>
        <rFont val="宋体"/>
        <family val="3"/>
        <charset val="134"/>
      </rPr>
      <t>定量限(</t>
    </r>
    <r>
      <rPr>
        <sz val="11"/>
        <color theme="1"/>
        <rFont val="Calibri"/>
        <family val="2"/>
      </rPr>
      <t>μ</t>
    </r>
    <r>
      <rPr>
        <sz val="11"/>
        <color theme="1"/>
        <rFont val="宋体"/>
        <family val="3"/>
        <charset val="134"/>
      </rPr>
      <t>g/kg)</t>
    </r>
  </si>
  <si>
    <r>
      <rPr>
        <sz val="11"/>
        <color rgb="FFFF0000"/>
        <rFont val="宋体"/>
        <family val="3"/>
        <charset val="134"/>
      </rPr>
      <t>为需填写内容</t>
    </r>
  </si>
  <si>
    <t>仪器名称及编号</t>
  </si>
  <si>
    <t>气质联用仪AS340</t>
  </si>
  <si>
    <t>HP-5MS(30m×0.25mm×0.25μm)</t>
  </si>
  <si>
    <r>
      <rPr>
        <sz val="11"/>
        <color rgb="FFFF0000"/>
        <rFont val="宋体"/>
        <family val="3"/>
        <charset val="134"/>
      </rPr>
      <t>为不需要填写</t>
    </r>
  </si>
  <si>
    <t>仪器型号</t>
  </si>
  <si>
    <t xml:space="preserve"> DB-5MS(30m×0.25mm×0.25μm)</t>
  </si>
  <si>
    <r>
      <rPr>
        <sz val="11"/>
        <color rgb="FFFF0000"/>
        <rFont val="宋体"/>
        <family val="3"/>
        <charset val="134"/>
      </rPr>
      <t>为质控模块</t>
    </r>
  </si>
  <si>
    <t>天平编号</t>
  </si>
  <si>
    <t>不分流进样</t>
  </si>
  <si>
    <r>
      <rPr>
        <sz val="11"/>
        <color theme="1"/>
        <rFont val="宋体"/>
        <family val="3"/>
        <charset val="134"/>
      </rPr>
      <t>定容体积V</t>
    </r>
    <r>
      <rPr>
        <vertAlign val="subscript"/>
        <sz val="11"/>
        <color theme="1"/>
        <rFont val="宋体"/>
        <family val="3"/>
        <charset val="134"/>
      </rPr>
      <t>1</t>
    </r>
    <r>
      <rPr>
        <sz val="11"/>
        <color theme="1"/>
        <rFont val="宋体"/>
        <family val="3"/>
        <charset val="134"/>
      </rPr>
      <t>(</t>
    </r>
    <r>
      <rPr>
        <sz val="11"/>
        <color theme="1"/>
        <rFont val="Calibri"/>
        <family val="2"/>
      </rPr>
      <t>μ</t>
    </r>
    <r>
      <rPr>
        <sz val="11"/>
        <color theme="1"/>
        <rFont val="宋体"/>
        <family val="3"/>
        <charset val="134"/>
      </rPr>
      <t>L)</t>
    </r>
  </si>
  <si>
    <r>
      <rPr>
        <sz val="11"/>
        <color theme="0" tint="-4.9989318521683403E-2"/>
        <rFont val="宋体"/>
        <family val="3"/>
        <charset val="134"/>
      </rPr>
      <t>分流进样（分流比</t>
    </r>
    <r>
      <rPr>
        <sz val="11"/>
        <color theme="0" tint="-4.9989318521683403E-2"/>
        <rFont val="Times New Roman"/>
        <family val="1"/>
      </rPr>
      <t xml:space="preserve">  :  </t>
    </r>
    <r>
      <rPr>
        <sz val="11"/>
        <color theme="0" tint="-4.9989318521683403E-2"/>
        <rFont val="宋体"/>
        <family val="3"/>
        <charset val="134"/>
      </rPr>
      <t>）</t>
    </r>
  </si>
  <si>
    <t>色谱条件</t>
  </si>
  <si>
    <t>色谱柱</t>
  </si>
  <si>
    <t xml:space="preserve"> HP-5MS(30m×0.25mm×0.25μm)
 DB-5MS(30m×0.25mm×0.25μm)</t>
  </si>
  <si>
    <t>柱温程序</t>
  </si>
  <si>
    <r>
      <rPr>
        <sz val="11"/>
        <color theme="1"/>
        <rFont val="微软雅黑"/>
        <family val="2"/>
        <charset val="134"/>
      </rPr>
      <t>初温</t>
    </r>
    <r>
      <rPr>
        <sz val="11"/>
        <color theme="1"/>
        <rFont val="Times New Roman"/>
        <family val="1"/>
      </rPr>
      <t>150</t>
    </r>
    <r>
      <rPr>
        <sz val="11"/>
        <color theme="1"/>
        <rFont val="Segoe UI Symbol"/>
        <family val="2"/>
      </rPr>
      <t>℃</t>
    </r>
    <r>
      <rPr>
        <sz val="11"/>
        <color theme="1"/>
        <rFont val="微软雅黑"/>
        <family val="2"/>
        <charset val="134"/>
      </rPr>
      <t>，保持</t>
    </r>
    <r>
      <rPr>
        <sz val="11"/>
        <color theme="1"/>
        <rFont val="Times New Roman"/>
        <family val="1"/>
      </rPr>
      <t>1min</t>
    </r>
    <r>
      <rPr>
        <sz val="11"/>
        <color theme="1"/>
        <rFont val="微软雅黑"/>
        <family val="2"/>
        <charset val="134"/>
      </rPr>
      <t>，
以</t>
    </r>
    <r>
      <rPr>
        <sz val="11"/>
        <color theme="1"/>
        <rFont val="Times New Roman"/>
        <family val="1"/>
      </rPr>
      <t>15</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265</t>
    </r>
    <r>
      <rPr>
        <sz val="11"/>
        <color theme="1"/>
        <rFont val="Segoe UI Symbol"/>
        <family val="2"/>
      </rPr>
      <t>℃</t>
    </r>
    <r>
      <rPr>
        <sz val="11"/>
        <color theme="1"/>
        <rFont val="微软雅黑"/>
        <family val="2"/>
        <charset val="134"/>
      </rPr>
      <t>，再以</t>
    </r>
    <r>
      <rPr>
        <sz val="11"/>
        <color theme="1"/>
        <rFont val="Times New Roman"/>
        <family val="1"/>
      </rPr>
      <t>3</t>
    </r>
    <r>
      <rPr>
        <sz val="11"/>
        <color theme="1"/>
        <rFont val="Segoe UI Symbol"/>
        <family val="2"/>
      </rPr>
      <t>℃</t>
    </r>
    <r>
      <rPr>
        <sz val="11"/>
        <color theme="1"/>
        <rFont val="Times New Roman"/>
        <family val="1"/>
      </rPr>
      <t>/min</t>
    </r>
    <r>
      <rPr>
        <sz val="11"/>
        <color theme="1"/>
        <rFont val="微软雅黑"/>
        <family val="2"/>
        <charset val="134"/>
      </rPr>
      <t>升至</t>
    </r>
    <r>
      <rPr>
        <sz val="11"/>
        <color theme="1"/>
        <rFont val="Times New Roman"/>
        <family val="1"/>
      </rPr>
      <t>290</t>
    </r>
    <r>
      <rPr>
        <sz val="11"/>
        <color theme="1"/>
        <rFont val="Segoe UI Symbol"/>
        <family val="2"/>
      </rPr>
      <t>℃</t>
    </r>
    <r>
      <rPr>
        <sz val="11"/>
        <color theme="1"/>
        <rFont val="微软雅黑"/>
        <family val="2"/>
        <charset val="134"/>
      </rPr>
      <t>，保持</t>
    </r>
    <r>
      <rPr>
        <sz val="11"/>
        <color theme="1"/>
        <rFont val="Times New Roman"/>
        <family val="1"/>
      </rPr>
      <t>2min</t>
    </r>
    <r>
      <rPr>
        <sz val="11"/>
        <color theme="1"/>
        <rFont val="微软雅黑"/>
        <family val="2"/>
        <charset val="134"/>
      </rPr>
      <t>。</t>
    </r>
  </si>
  <si>
    <t>进样方式</t>
  </si>
  <si>
    <t>分流进样（分流比  :  ）</t>
  </si>
  <si>
    <t>进样口温度(℃)</t>
  </si>
  <si>
    <t>流速(mL/min)</t>
  </si>
  <si>
    <r>
      <rPr>
        <sz val="11"/>
        <color theme="1"/>
        <rFont val="宋体"/>
        <family val="3"/>
        <charset val="134"/>
      </rPr>
      <t>进样体积(</t>
    </r>
    <r>
      <rPr>
        <sz val="11"/>
        <color theme="1"/>
        <rFont val="Calibri"/>
        <family val="2"/>
      </rPr>
      <t>μ</t>
    </r>
    <r>
      <rPr>
        <sz val="11"/>
        <color theme="1"/>
        <rFont val="宋体"/>
        <family val="3"/>
        <charset val="134"/>
      </rPr>
      <t>L)</t>
    </r>
  </si>
  <si>
    <t>质谱条件</t>
  </si>
  <si>
    <t>四级杆温度(℃)</t>
  </si>
  <si>
    <t>离子源温度(℃)</t>
  </si>
  <si>
    <t>质谱接口温度(℃)</t>
  </si>
  <si>
    <t>EM电压</t>
  </si>
  <si>
    <t xml:space="preserve"> SIM(m/z)
 SCAN(m/z)</t>
  </si>
  <si>
    <r>
      <rPr>
        <sz val="11"/>
        <color theme="1"/>
        <rFont val="Times New Roman"/>
        <family val="1"/>
      </rPr>
      <t>256*</t>
    </r>
    <r>
      <rPr>
        <sz val="11"/>
        <color theme="1"/>
        <rFont val="微软雅黑"/>
        <family val="2"/>
        <charset val="134"/>
      </rPr>
      <t>，</t>
    </r>
    <r>
      <rPr>
        <sz val="11"/>
        <color theme="1"/>
        <rFont val="Times New Roman"/>
        <family val="1"/>
      </rPr>
      <t>283</t>
    </r>
    <r>
      <rPr>
        <sz val="11"/>
        <color theme="1"/>
        <rFont val="微软雅黑"/>
        <family val="2"/>
        <charset val="134"/>
      </rPr>
      <t>，</t>
    </r>
    <r>
      <rPr>
        <sz val="11"/>
        <color theme="1"/>
        <rFont val="Times New Roman"/>
        <family val="1"/>
      </rPr>
      <t>221</t>
    </r>
    <r>
      <rPr>
        <sz val="11"/>
        <color theme="1"/>
        <rFont val="微软雅黑"/>
        <family val="2"/>
        <charset val="134"/>
      </rPr>
      <t>，</t>
    </r>
    <r>
      <rPr>
        <sz val="11"/>
        <color theme="1"/>
        <rFont val="Times New Roman"/>
        <family val="1"/>
      </rPr>
      <t>241</t>
    </r>
  </si>
  <si>
    <t>标准溶液</t>
  </si>
  <si>
    <r>
      <rPr>
        <sz val="11"/>
        <color theme="1"/>
        <rFont val="宋体"/>
        <family val="3"/>
        <charset val="134"/>
      </rPr>
      <t>标准工作溶液浓度(</t>
    </r>
    <r>
      <rPr>
        <sz val="11"/>
        <color theme="1"/>
        <rFont val="Calibri"/>
        <family val="2"/>
      </rPr>
      <t>μ</t>
    </r>
    <r>
      <rPr>
        <sz val="11"/>
        <color theme="1"/>
        <rFont val="宋体"/>
        <family val="3"/>
        <charset val="134"/>
      </rPr>
      <t>g/L)</t>
    </r>
  </si>
  <si>
    <t>1.00、10.0、
50.0、100、
500、1000</t>
  </si>
  <si>
    <t>标准工作液编号</t>
  </si>
  <si>
    <t>内标及加入量</t>
  </si>
  <si>
    <t>/</t>
  </si>
  <si>
    <t>标准工作液有效期</t>
  </si>
  <si>
    <r>
      <rPr>
        <sz val="11"/>
        <color theme="1"/>
        <rFont val="宋体"/>
        <family val="3"/>
        <charset val="134"/>
      </rPr>
      <t>试剂空白C</t>
    </r>
    <r>
      <rPr>
        <vertAlign val="subscript"/>
        <sz val="11"/>
        <color theme="1"/>
        <rFont val="宋体"/>
        <family val="3"/>
        <charset val="134"/>
      </rPr>
      <t>0</t>
    </r>
  </si>
  <si>
    <t>计算公式</t>
  </si>
  <si>
    <r>
      <rPr>
        <sz val="11"/>
        <color theme="1"/>
        <rFont val="宋体"/>
        <family val="3"/>
        <charset val="134"/>
      </rPr>
      <t>X=(C</t>
    </r>
    <r>
      <rPr>
        <vertAlign val="subscript"/>
        <sz val="11"/>
        <color theme="1"/>
        <rFont val="宋体"/>
        <family val="3"/>
        <charset val="134"/>
      </rPr>
      <t>S</t>
    </r>
    <r>
      <rPr>
        <sz val="11"/>
        <color theme="1"/>
        <rFont val="宋体"/>
        <family val="3"/>
        <charset val="134"/>
      </rPr>
      <t>-C</t>
    </r>
    <r>
      <rPr>
        <vertAlign val="subscript"/>
        <sz val="11"/>
        <color theme="1"/>
        <rFont val="宋体"/>
        <family val="3"/>
        <charset val="134"/>
      </rPr>
      <t>O</t>
    </r>
    <r>
      <rPr>
        <sz val="11"/>
        <color theme="1"/>
        <rFont val="宋体"/>
        <family val="3"/>
        <charset val="134"/>
      </rPr>
      <t>)×V</t>
    </r>
    <r>
      <rPr>
        <vertAlign val="subscript"/>
        <sz val="11"/>
        <color theme="1"/>
        <rFont val="宋体"/>
        <family val="3"/>
        <charset val="134"/>
      </rPr>
      <t>1</t>
    </r>
    <r>
      <rPr>
        <sz val="11"/>
        <color theme="1"/>
        <rFont val="宋体"/>
        <family val="3"/>
        <charset val="134"/>
      </rPr>
      <t>÷m</t>
    </r>
  </si>
  <si>
    <t>定性要求</t>
  </si>
  <si>
    <t>在同样测试条件下，样品中各组分主要定性离子的相对丰度与浓度接近的标准工作溶液中对应的定性离子的相对丰度进行比较，偏差不超过以下规定的范围，则可判定为样品中存在对应的待测物：⑴相对离子丰度＞50%，允许相对偏差±10 %；⑵相对离子丰度20～50（含）%，允许相对偏差±15%；⑶相对离子丰度10～20（含）%，允许相对偏差±20%；⑷相对离子丰度≤10%,允许相对偏差±50%。</t>
  </si>
  <si>
    <t>签名</t>
  </si>
  <si>
    <t>检测人</t>
  </si>
  <si>
    <t>校核人</t>
  </si>
  <si>
    <t>审核人</t>
  </si>
  <si>
    <t>检测信息</t>
  </si>
  <si>
    <t>序号</t>
  </si>
  <si>
    <t>样品编号</t>
  </si>
  <si>
    <t>取样量m(g)</t>
  </si>
  <si>
    <t>检测项目</t>
  </si>
  <si>
    <t>定性判定</t>
  </si>
  <si>
    <t>定量结果</t>
  </si>
  <si>
    <t>质控</t>
  </si>
  <si>
    <t>备注</t>
  </si>
  <si>
    <t>相对离子丰度（%）
Cs（   ）</t>
  </si>
  <si>
    <t>是否阳性</t>
  </si>
  <si>
    <t>样液
测定结果
Cs（    ）</t>
  </si>
  <si>
    <t>样品
残留量
X（    ）</t>
  </si>
  <si>
    <t>标样
推荐值/加标浓度</t>
  </si>
  <si>
    <r>
      <rPr>
        <sz val="11"/>
        <color theme="1"/>
        <rFont val="宋体"/>
        <family val="3"/>
        <charset val="134"/>
      </rPr>
      <t>加标体积</t>
    </r>
    <r>
      <rPr>
        <sz val="11"/>
        <color theme="1"/>
        <rFont val="Times New Roman"/>
        <family val="1"/>
      </rPr>
      <t xml:space="preserve">
(μL)</t>
    </r>
  </si>
  <si>
    <t>允许值</t>
  </si>
  <si>
    <r>
      <rPr>
        <sz val="11"/>
        <rFont val="宋体"/>
        <family val="3"/>
        <charset val="134"/>
      </rPr>
      <t>相对偏差</t>
    </r>
    <r>
      <rPr>
        <sz val="11"/>
        <rFont val="Times New Roman"/>
        <family val="1"/>
      </rPr>
      <t xml:space="preserve">
</t>
    </r>
    <r>
      <rPr>
        <sz val="11"/>
        <rFont val="宋体"/>
        <family val="3"/>
        <charset val="134"/>
      </rPr>
      <t>相对误差</t>
    </r>
    <r>
      <rPr>
        <sz val="11"/>
        <rFont val="Times New Roman"/>
        <family val="1"/>
      </rPr>
      <t xml:space="preserve">
</t>
    </r>
    <r>
      <rPr>
        <sz val="11"/>
        <rFont val="宋体"/>
        <family val="3"/>
        <charset val="134"/>
      </rPr>
      <t>回收率</t>
    </r>
  </si>
  <si>
    <t>结果</t>
  </si>
  <si>
    <t>样品</t>
  </si>
  <si>
    <t>标液</t>
  </si>
  <si>
    <t>偏差</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</si>
</sst>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_ "/>
    <numFmt numFmtId="177" formatCode="0.0_ ;[Red]\-0.0\ "/>
    <numFmt numFmtId="178" formatCode="0.0"/>
  </numFmts>
  <fonts count="22">
    <font>
      <sz val="11"/>
      <color theme="1"/>
      <name val="宋体"/>
      <charset val="134"/>
      <scheme val="minor"/>
    </font>
    <font>
      <sz val="11"/>
      <color theme="1"/>
      <name val="Times New Roman"/>
      <family val="1"/>
    </font>
    <font>
      <b/>
      <sz val="11"/>
      <color theme="0"/>
      <name val="宋体"/>
      <family val="3"/>
      <charset val="134"/>
    </font>
    <font>
      <sz val="11"/>
      <name val="宋体"/>
      <family val="3"/>
      <charset val="134"/>
    </font>
    <font>
      <sz val="11"/>
      <name val="Times New Roman"/>
      <family val="1"/>
    </font>
    <font>
      <sz val="11"/>
      <color theme="1"/>
      <name val="宋体"/>
      <family val="3"/>
      <charset val="134"/>
    </font>
    <font>
      <b/>
      <sz val="11"/>
      <color theme="0"/>
      <name val="Times New Roman"/>
      <family val="1"/>
    </font>
    <font>
      <sz val="36"/>
      <color theme="0"/>
      <name val="华文行楷"/>
      <family val="3"/>
      <charset val="134"/>
    </font>
    <font>
      <sz val="48"/>
      <color theme="0"/>
      <name val="华文行楷"/>
      <family val="3"/>
      <charset val="134"/>
    </font>
    <font>
      <sz val="11"/>
      <color theme="0" tint="-4.9989318521683403E-2"/>
      <name val="Times New Roman"/>
      <family val="1"/>
    </font>
    <font>
      <sz val="11"/>
      <color theme="0" tint="-4.9989318521683403E-2"/>
      <name val="宋体"/>
      <family val="3"/>
      <charset val="134"/>
    </font>
    <font>
      <sz val="11"/>
      <color theme="1"/>
      <name val="微软雅黑"/>
      <family val="2"/>
      <charset val="134"/>
    </font>
    <font>
      <sz val="36"/>
      <color theme="1"/>
      <name val="华文行楷"/>
      <family val="3"/>
      <charset val="134"/>
    </font>
    <font>
      <b/>
      <sz val="11"/>
      <color theme="1"/>
      <name val="Times New Roman"/>
      <family val="1"/>
    </font>
    <font>
      <sz val="11"/>
      <color rgb="FFFF0000"/>
      <name val="Times New Roman"/>
      <family val="1"/>
    </font>
    <font>
      <sz val="10"/>
      <name val="Arial"/>
      <family val="2"/>
    </font>
    <font>
      <sz val="11"/>
      <color theme="1"/>
      <name val="Calibri"/>
      <family val="2"/>
    </font>
    <font>
      <b/>
      <sz val="11"/>
      <color theme="1"/>
      <name val="宋体"/>
      <family val="3"/>
      <charset val="134"/>
    </font>
    <font>
      <sz val="11"/>
      <color rgb="FFFF0000"/>
      <name val="宋体"/>
      <family val="3"/>
      <charset val="134"/>
    </font>
    <font>
      <vertAlign val="subscript"/>
      <sz val="11"/>
      <color theme="1"/>
      <name val="宋体"/>
      <family val="3"/>
      <charset val="134"/>
    </font>
    <font>
      <sz val="11"/>
      <color theme="1"/>
      <name val="Segoe UI Symbol"/>
      <family val="2"/>
    </font>
    <font>
      <sz val="9"/>
      <name val="宋体"/>
      <family val="3"/>
      <charset val="134"/>
      <scheme val="minor"/>
    </font>
  </fonts>
  <fills count="10">
    <fill>
      <patternFill patternType="none"/>
    </fill>
    <fill>
      <patternFill patternType="gray125"/>
    </fill>
    <fill>
      <patternFill patternType="solid">
        <fgColor rgb="FFF5F6F9"/>
        <bgColor indexed="64"/>
      </patternFill>
    </fill>
    <fill>
      <patternFill patternType="solid">
        <fgColor theme="6" tint="0.59999389629810485"/>
        <bgColor indexed="64"/>
      </patternFill>
    </fill>
    <fill>
      <patternFill patternType="solid">
        <fgColor rgb="FFFFFCF7"/>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rgb="FF689CDA"/>
        <bgColor indexed="64"/>
      </patternFill>
    </fill>
    <fill>
      <patternFill patternType="solid">
        <fgColor rgb="FFF2F3F8"/>
        <bgColor indexed="64"/>
      </patternFill>
    </fill>
    <fill>
      <patternFill patternType="solid">
        <fgColor theme="3" tint="0.3999145481734672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right/>
      <top/>
      <bottom style="medium">
        <color auto="1"/>
      </bottom>
      <diagonal/>
    </border>
  </borders>
  <cellStyleXfs count="2">
    <xf numFmtId="0" fontId="0" fillId="0" borderId="0"/>
    <xf numFmtId="0" fontId="15" fillId="0" borderId="0"/>
  </cellStyleXfs>
  <cellXfs count="125">
    <xf numFmtId="0" fontId="0" fillId="0" borderId="0" xfId="0"/>
    <xf numFmtId="49" fontId="1" fillId="2" borderId="0" xfId="0" applyNumberFormat="1" applyFont="1" applyFill="1" applyBorder="1" applyAlignment="1" applyProtection="1">
      <alignment vertical="center"/>
    </xf>
    <xf numFmtId="49" fontId="1" fillId="2" borderId="0" xfId="0" applyNumberFormat="1" applyFont="1" applyFill="1" applyBorder="1" applyProtection="1"/>
    <xf numFmtId="49" fontId="1" fillId="3" borderId="1" xfId="0" applyNumberFormat="1" applyFont="1" applyFill="1" applyBorder="1" applyAlignment="1" applyProtection="1">
      <alignment horizontal="center" vertical="center"/>
      <protection locked="0"/>
    </xf>
    <xf numFmtId="49" fontId="1" fillId="4" borderId="1" xfId="0" applyNumberFormat="1" applyFont="1" applyFill="1" applyBorder="1" applyAlignment="1" applyProtection="1">
      <alignment horizontal="center" vertical="center"/>
      <protection locked="0"/>
    </xf>
    <xf numFmtId="0" fontId="1" fillId="5" borderId="1" xfId="0" applyNumberFormat="1" applyFont="1" applyFill="1" applyBorder="1" applyAlignment="1" applyProtection="1">
      <alignment horizontal="center" vertical="center"/>
      <protection locked="0"/>
    </xf>
    <xf numFmtId="0" fontId="1" fillId="6" borderId="1" xfId="0" applyNumberFormat="1" applyFont="1" applyFill="1" applyBorder="1" applyAlignment="1" applyProtection="1">
      <alignment horizontal="center" vertical="center"/>
      <protection locked="0"/>
    </xf>
    <xf numFmtId="49" fontId="3" fillId="8" borderId="1" xfId="0" applyNumberFormat="1" applyFont="1" applyFill="1" applyBorder="1" applyAlignment="1" applyProtection="1">
      <alignment horizontal="center" vertical="center" wrapText="1"/>
      <protection locked="0"/>
    </xf>
    <xf numFmtId="49" fontId="5" fillId="8" borderId="1" xfId="0" applyNumberFormat="1" applyFont="1" applyFill="1" applyBorder="1" applyAlignment="1" applyProtection="1">
      <alignment horizontal="center" vertical="center"/>
      <protection locked="0"/>
    </xf>
    <xf numFmtId="0" fontId="3" fillId="8" borderId="1" xfId="0" applyNumberFormat="1" applyFont="1" applyFill="1" applyBorder="1" applyAlignment="1" applyProtection="1">
      <alignment horizontal="center" vertical="center" wrapText="1"/>
      <protection locked="0"/>
    </xf>
    <xf numFmtId="49" fontId="5" fillId="4" borderId="1" xfId="0" applyNumberFormat="1" applyFont="1" applyFill="1" applyBorder="1" applyAlignment="1" applyProtection="1">
      <alignment horizontal="center" vertical="center"/>
      <protection locked="0"/>
    </xf>
    <xf numFmtId="49" fontId="6" fillId="7" borderId="6" xfId="1" applyNumberFormat="1" applyFont="1" applyFill="1" applyBorder="1" applyAlignment="1" applyProtection="1">
      <alignment horizontal="left" vertical="center"/>
      <protection locked="0"/>
    </xf>
    <xf numFmtId="49" fontId="6" fillId="7" borderId="7" xfId="1" applyNumberFormat="1" applyFont="1" applyFill="1" applyBorder="1" applyAlignment="1" applyProtection="1">
      <alignment horizontal="left" vertical="center"/>
      <protection locked="0"/>
    </xf>
    <xf numFmtId="0" fontId="1" fillId="5" borderId="1" xfId="0" applyNumberFormat="1" applyFont="1" applyFill="1" applyBorder="1" applyAlignment="1" applyProtection="1">
      <alignment horizontal="center" vertical="center" wrapText="1"/>
      <protection locked="0"/>
    </xf>
    <xf numFmtId="49" fontId="1" fillId="2" borderId="0" xfId="0" applyNumberFormat="1" applyFont="1" applyFill="1" applyBorder="1" applyAlignment="1" applyProtection="1">
      <alignment horizontal="left" vertical="top"/>
    </xf>
    <xf numFmtId="49" fontId="1" fillId="2" borderId="0" xfId="0" applyNumberFormat="1" applyFont="1" applyFill="1" applyBorder="1" applyAlignment="1" applyProtection="1">
      <alignment horizontal="center"/>
    </xf>
    <xf numFmtId="0" fontId="6" fillId="9" borderId="0" xfId="0" applyNumberFormat="1" applyFont="1" applyFill="1" applyBorder="1" applyAlignment="1" applyProtection="1">
      <alignment horizontal="left" vertical="center"/>
      <protection locked="0"/>
    </xf>
    <xf numFmtId="49" fontId="1" fillId="9" borderId="0" xfId="0" applyNumberFormat="1" applyFont="1" applyFill="1" applyBorder="1" applyProtection="1"/>
    <xf numFmtId="49" fontId="5" fillId="2" borderId="1" xfId="0" applyNumberFormat="1" applyFont="1" applyFill="1" applyBorder="1" applyAlignment="1" applyProtection="1">
      <alignment horizontal="center" vertical="center"/>
      <protection locked="0"/>
    </xf>
    <xf numFmtId="0" fontId="1" fillId="9" borderId="0" xfId="0" applyNumberFormat="1" applyFont="1" applyFill="1" applyBorder="1" applyAlignment="1" applyProtection="1">
      <alignment horizontal="center" vertical="center"/>
      <protection locked="0"/>
    </xf>
    <xf numFmtId="49" fontId="7" fillId="9" borderId="0" xfId="0" applyNumberFormat="1" applyFont="1" applyFill="1" applyBorder="1" applyProtection="1"/>
    <xf numFmtId="177" fontId="1" fillId="9" borderId="0" xfId="0" applyNumberFormat="1" applyFont="1" applyFill="1" applyBorder="1" applyAlignment="1" applyProtection="1">
      <alignment horizontal="center" vertical="center"/>
      <protection locked="0"/>
    </xf>
    <xf numFmtId="49" fontId="8" fillId="9" borderId="0" xfId="0" applyNumberFormat="1" applyFont="1" applyFill="1" applyBorder="1" applyAlignment="1" applyProtection="1">
      <alignment horizontal="center"/>
    </xf>
    <xf numFmtId="49" fontId="5" fillId="4" borderId="1" xfId="0" applyNumberFormat="1" applyFont="1" applyFill="1" applyBorder="1" applyAlignment="1" applyProtection="1">
      <alignment horizontal="left" vertical="center"/>
      <protection locked="0"/>
    </xf>
    <xf numFmtId="49" fontId="5" fillId="4" borderId="6" xfId="0" applyNumberFormat="1" applyFont="1" applyFill="1" applyBorder="1" applyAlignment="1" applyProtection="1">
      <alignment horizontal="right" vertical="center"/>
      <protection locked="0"/>
    </xf>
    <xf numFmtId="0" fontId="1" fillId="2" borderId="0" xfId="0" applyFont="1" applyFill="1" applyBorder="1" applyAlignment="1" applyProtection="1">
      <alignment horizontal="center" vertical="center"/>
      <protection locked="0"/>
    </xf>
    <xf numFmtId="0" fontId="9" fillId="2" borderId="0" xfId="0" applyFont="1" applyFill="1" applyBorder="1" applyAlignment="1" applyProtection="1">
      <alignment horizontal="center" vertical="center"/>
      <protection locked="0"/>
    </xf>
    <xf numFmtId="0" fontId="10" fillId="2" borderId="0" xfId="0"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center" vertical="center" wrapText="1"/>
      <protection locked="0"/>
    </xf>
    <xf numFmtId="0" fontId="1" fillId="4" borderId="1" xfId="0" applyNumberFormat="1"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protection locked="0"/>
    </xf>
    <xf numFmtId="0" fontId="11" fillId="4" borderId="1" xfId="0" applyNumberFormat="1" applyFont="1" applyFill="1" applyBorder="1" applyAlignment="1" applyProtection="1">
      <alignment horizontal="center" vertical="center"/>
      <protection locked="0"/>
    </xf>
    <xf numFmtId="0" fontId="1" fillId="4" borderId="1" xfId="0" applyNumberFormat="1" applyFont="1" applyFill="1" applyBorder="1" applyAlignment="1" applyProtection="1">
      <alignment horizontal="center" vertical="center"/>
      <protection locked="0"/>
    </xf>
    <xf numFmtId="178" fontId="1" fillId="4" borderId="1" xfId="0" applyNumberFormat="1" applyFont="1" applyFill="1" applyBorder="1" applyAlignment="1" applyProtection="1">
      <alignment horizontal="center" vertical="center"/>
      <protection locked="0"/>
    </xf>
    <xf numFmtId="49" fontId="5" fillId="4" borderId="1" xfId="0" applyNumberFormat="1" applyFont="1" applyFill="1" applyBorder="1" applyAlignment="1">
      <alignment horizontal="center" vertical="center" wrapText="1"/>
    </xf>
    <xf numFmtId="49" fontId="5" fillId="4" borderId="1" xfId="0" applyNumberFormat="1" applyFont="1" applyFill="1" applyBorder="1" applyAlignment="1">
      <alignment vertical="center"/>
    </xf>
    <xf numFmtId="49" fontId="5" fillId="4" borderId="1" xfId="0" applyNumberFormat="1" applyFont="1" applyFill="1" applyBorder="1" applyAlignment="1">
      <alignment horizontal="center" vertical="center"/>
    </xf>
    <xf numFmtId="49" fontId="5" fillId="8" borderId="3" xfId="0" applyNumberFormat="1" applyFont="1" applyFill="1" applyBorder="1" applyAlignment="1">
      <alignment horizontal="center" vertical="center"/>
    </xf>
    <xf numFmtId="0" fontId="5" fillId="4" borderId="11" xfId="0" applyNumberFormat="1" applyFont="1" applyFill="1" applyBorder="1" applyAlignment="1">
      <alignment horizontal="right" vertical="center" wrapText="1"/>
    </xf>
    <xf numFmtId="49" fontId="5" fillId="8" borderId="1" xfId="0" applyNumberFormat="1" applyFont="1" applyFill="1" applyBorder="1" applyAlignment="1">
      <alignment horizontal="center" vertical="center"/>
    </xf>
    <xf numFmtId="0" fontId="1" fillId="9" borderId="0" xfId="0" applyFont="1" applyFill="1" applyBorder="1" applyAlignment="1" applyProtection="1">
      <alignment horizontal="center" vertical="center"/>
      <protection locked="0"/>
    </xf>
    <xf numFmtId="49" fontId="12" fillId="9" borderId="0" xfId="0" applyNumberFormat="1" applyFont="1" applyFill="1" applyBorder="1" applyProtection="1"/>
    <xf numFmtId="49" fontId="8" fillId="9" borderId="0" xfId="0" applyNumberFormat="1" applyFont="1" applyFill="1" applyBorder="1" applyProtection="1"/>
    <xf numFmtId="49" fontId="13" fillId="2" borderId="14" xfId="0" applyNumberFormat="1" applyFont="1" applyFill="1" applyBorder="1" applyAlignment="1" applyProtection="1"/>
    <xf numFmtId="49" fontId="1" fillId="2" borderId="14" xfId="0" applyNumberFormat="1" applyFont="1" applyFill="1" applyBorder="1" applyProtection="1"/>
    <xf numFmtId="49" fontId="1" fillId="4" borderId="0" xfId="0" applyNumberFormat="1" applyFont="1" applyFill="1" applyBorder="1" applyProtection="1"/>
    <xf numFmtId="49" fontId="14" fillId="2" borderId="0" xfId="0" applyNumberFormat="1" applyFont="1" applyFill="1" applyBorder="1" applyAlignment="1" applyProtection="1">
      <alignment vertical="center"/>
    </xf>
    <xf numFmtId="49" fontId="1" fillId="3" borderId="0" xfId="0" applyNumberFormat="1" applyFont="1" applyFill="1" applyBorder="1" applyProtection="1"/>
    <xf numFmtId="49" fontId="1" fillId="5" borderId="0" xfId="0" applyNumberFormat="1" applyFont="1" applyFill="1" applyBorder="1" applyProtection="1"/>
    <xf numFmtId="49" fontId="9" fillId="2" borderId="0" xfId="0" applyNumberFormat="1" applyFont="1" applyFill="1" applyAlignment="1">
      <alignment vertical="center"/>
    </xf>
    <xf numFmtId="49" fontId="14" fillId="2" borderId="0" xfId="0" applyNumberFormat="1" applyFont="1" applyFill="1" applyAlignment="1">
      <alignment vertical="center"/>
    </xf>
    <xf numFmtId="49" fontId="14" fillId="2" borderId="0" xfId="0" applyNumberFormat="1" applyFont="1" applyFill="1" applyBorder="1" applyProtection="1"/>
    <xf numFmtId="49" fontId="9" fillId="2" borderId="0" xfId="0" applyNumberFormat="1" applyFont="1" applyFill="1" applyBorder="1" applyAlignment="1" applyProtection="1">
      <alignment vertical="center"/>
    </xf>
    <xf numFmtId="49" fontId="7" fillId="9" borderId="0" xfId="0" applyNumberFormat="1" applyFont="1" applyFill="1" applyBorder="1" applyAlignment="1" applyProtection="1">
      <alignment horizontal="center"/>
    </xf>
    <xf numFmtId="49" fontId="1" fillId="3" borderId="1" xfId="0" applyNumberFormat="1" applyFont="1" applyFill="1" applyBorder="1" applyAlignment="1" applyProtection="1">
      <alignment horizontal="center" vertical="center"/>
      <protection locked="0"/>
    </xf>
    <xf numFmtId="49" fontId="5" fillId="8" borderId="4" xfId="0" applyNumberFormat="1" applyFont="1" applyFill="1" applyBorder="1" applyAlignment="1">
      <alignment horizontal="center" vertical="center"/>
    </xf>
    <xf numFmtId="49" fontId="5" fillId="8" borderId="2" xfId="0" applyNumberFormat="1" applyFont="1" applyFill="1" applyBorder="1" applyAlignment="1">
      <alignment horizontal="center" vertical="center"/>
    </xf>
    <xf numFmtId="49" fontId="5" fillId="8" borderId="9" xfId="0" applyNumberFormat="1" applyFont="1" applyFill="1" applyBorder="1" applyAlignment="1">
      <alignment horizontal="center" vertical="center"/>
    </xf>
    <xf numFmtId="49" fontId="5" fillId="8" borderId="4" xfId="0" applyNumberFormat="1" applyFont="1" applyFill="1" applyBorder="1" applyAlignment="1">
      <alignment horizontal="center" vertical="center" wrapText="1"/>
    </xf>
    <xf numFmtId="49" fontId="5" fillId="8" borderId="9" xfId="0" applyNumberFormat="1" applyFont="1" applyFill="1" applyBorder="1" applyAlignment="1">
      <alignment horizontal="center" vertical="center" wrapText="1"/>
    </xf>
    <xf numFmtId="0" fontId="1" fillId="4" borderId="5" xfId="0" applyNumberFormat="1" applyFont="1" applyFill="1" applyBorder="1" applyAlignment="1" applyProtection="1">
      <alignment horizontal="center" vertical="center"/>
      <protection locked="0"/>
    </xf>
    <xf numFmtId="0" fontId="1" fillId="4" borderId="6" xfId="0" applyNumberFormat="1" applyFont="1" applyFill="1" applyBorder="1" applyAlignment="1" applyProtection="1">
      <alignment horizontal="center" vertical="center"/>
      <protection locked="0"/>
    </xf>
    <xf numFmtId="0" fontId="1" fillId="4" borderId="7" xfId="0" applyNumberFormat="1" applyFont="1" applyFill="1" applyBorder="1" applyAlignment="1" applyProtection="1">
      <alignment horizontal="center" vertical="center"/>
      <protection locked="0"/>
    </xf>
    <xf numFmtId="0" fontId="5" fillId="4" borderId="5" xfId="0" applyNumberFormat="1" applyFont="1" applyFill="1" applyBorder="1" applyAlignment="1">
      <alignment horizontal="center" vertical="center" wrapText="1"/>
    </xf>
    <xf numFmtId="0" fontId="5" fillId="4" borderId="6" xfId="0" applyNumberFormat="1" applyFont="1" applyFill="1" applyBorder="1" applyAlignment="1">
      <alignment horizontal="center" vertical="center" wrapText="1"/>
    </xf>
    <xf numFmtId="49" fontId="5" fillId="4" borderId="5" xfId="0" applyNumberFormat="1" applyFont="1" applyFill="1" applyBorder="1" applyAlignment="1">
      <alignment horizontal="center" vertical="center" wrapText="1"/>
    </xf>
    <xf numFmtId="49" fontId="5" fillId="4" borderId="6" xfId="0" applyNumberFormat="1" applyFont="1" applyFill="1" applyBorder="1" applyAlignment="1">
      <alignment horizontal="center" vertical="center" wrapText="1"/>
    </xf>
    <xf numFmtId="49" fontId="5" fillId="4" borderId="7" xfId="0" applyNumberFormat="1" applyFont="1" applyFill="1" applyBorder="1" applyAlignment="1">
      <alignment horizontal="center" vertical="center" wrapText="1"/>
    </xf>
    <xf numFmtId="49" fontId="5" fillId="4" borderId="1" xfId="0" applyNumberFormat="1" applyFont="1" applyFill="1" applyBorder="1" applyAlignment="1">
      <alignment horizontal="left" vertical="top" wrapText="1"/>
    </xf>
    <xf numFmtId="49" fontId="2" fillId="7" borderId="5" xfId="0" applyNumberFormat="1" applyFont="1" applyFill="1" applyBorder="1" applyAlignment="1" applyProtection="1">
      <alignment horizontal="left" vertical="center"/>
      <protection locked="0"/>
    </xf>
    <xf numFmtId="49" fontId="2" fillId="7" borderId="12" xfId="0" applyNumberFormat="1" applyFont="1" applyFill="1" applyBorder="1" applyAlignment="1" applyProtection="1">
      <alignment horizontal="left" vertical="center"/>
      <protection locked="0"/>
    </xf>
    <xf numFmtId="49" fontId="2" fillId="7" borderId="13" xfId="0" applyNumberFormat="1" applyFont="1" applyFill="1" applyBorder="1" applyAlignment="1" applyProtection="1">
      <alignment horizontal="left" vertical="center"/>
      <protection locked="0"/>
    </xf>
    <xf numFmtId="176" fontId="5" fillId="4" borderId="5" xfId="0" applyNumberFormat="1" applyFont="1" applyFill="1" applyBorder="1" applyAlignment="1" applyProtection="1">
      <alignment horizontal="center" vertical="center" wrapText="1"/>
      <protection locked="0"/>
    </xf>
    <xf numFmtId="176" fontId="1" fillId="4" borderId="6" xfId="0" applyNumberFormat="1" applyFont="1" applyFill="1" applyBorder="1" applyAlignment="1" applyProtection="1">
      <alignment horizontal="center" vertical="center"/>
      <protection locked="0"/>
    </xf>
    <xf numFmtId="176" fontId="1" fillId="4" borderId="7" xfId="0" applyNumberFormat="1" applyFont="1" applyFill="1" applyBorder="1" applyAlignment="1" applyProtection="1">
      <alignment horizontal="center" vertical="center"/>
      <protection locked="0"/>
    </xf>
    <xf numFmtId="176" fontId="1" fillId="4" borderId="5" xfId="0" applyNumberFormat="1" applyFont="1" applyFill="1" applyBorder="1" applyAlignment="1" applyProtection="1">
      <alignment horizontal="center" vertical="center" wrapText="1"/>
      <protection locked="0"/>
    </xf>
    <xf numFmtId="176" fontId="5" fillId="4" borderId="6" xfId="0" applyNumberFormat="1" applyFont="1" applyFill="1" applyBorder="1" applyAlignment="1" applyProtection="1">
      <alignment horizontal="center" vertical="center" wrapText="1"/>
      <protection locked="0"/>
    </xf>
    <xf numFmtId="176" fontId="5" fillId="4" borderId="7" xfId="0" applyNumberFormat="1" applyFont="1" applyFill="1" applyBorder="1" applyAlignment="1" applyProtection="1">
      <alignment horizontal="center" vertical="center" wrapText="1"/>
      <protection locked="0"/>
    </xf>
    <xf numFmtId="2" fontId="1" fillId="4" borderId="5" xfId="0" applyNumberFormat="1" applyFont="1" applyFill="1" applyBorder="1" applyAlignment="1" applyProtection="1">
      <alignment horizontal="center" vertical="center"/>
      <protection locked="0"/>
    </xf>
    <xf numFmtId="2" fontId="1" fillId="4" borderId="6" xfId="0" applyNumberFormat="1" applyFont="1" applyFill="1" applyBorder="1" applyAlignment="1" applyProtection="1">
      <alignment horizontal="center" vertical="center"/>
      <protection locked="0"/>
    </xf>
    <xf numFmtId="2" fontId="1" fillId="4" borderId="7" xfId="0" applyNumberFormat="1" applyFont="1" applyFill="1" applyBorder="1" applyAlignment="1" applyProtection="1">
      <alignment horizontal="center" vertical="center"/>
      <protection locked="0"/>
    </xf>
    <xf numFmtId="49" fontId="5" fillId="3" borderId="5" xfId="0" applyNumberFormat="1" applyFont="1" applyFill="1" applyBorder="1" applyAlignment="1" applyProtection="1">
      <alignment horizontal="center" vertical="center"/>
      <protection locked="0"/>
    </xf>
    <xf numFmtId="49" fontId="5" fillId="3" borderId="6"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wrapText="1"/>
      <protection locked="0"/>
    </xf>
    <xf numFmtId="49" fontId="1" fillId="4" borderId="6" xfId="0" applyNumberFormat="1" applyFont="1" applyFill="1" applyBorder="1" applyAlignment="1" applyProtection="1">
      <alignment horizontal="center" vertical="center"/>
      <protection locked="0"/>
    </xf>
    <xf numFmtId="49" fontId="1" fillId="4" borderId="7" xfId="0" applyNumberFormat="1" applyFont="1" applyFill="1" applyBorder="1" applyAlignment="1" applyProtection="1">
      <alignment horizontal="center" vertical="center"/>
      <protection locked="0"/>
    </xf>
    <xf numFmtId="49" fontId="5" fillId="4" borderId="1" xfId="0" applyNumberFormat="1" applyFont="1" applyFill="1" applyBorder="1" applyAlignment="1" applyProtection="1">
      <alignment horizontal="left" vertical="center"/>
      <protection locked="0"/>
    </xf>
    <xf numFmtId="49" fontId="1" fillId="4" borderId="6" xfId="0" applyNumberFormat="1" applyFont="1" applyFill="1" applyBorder="1" applyAlignment="1" applyProtection="1">
      <alignment horizontal="center" vertical="center" wrapText="1"/>
      <protection locked="0"/>
    </xf>
    <xf numFmtId="49" fontId="1" fillId="4" borderId="7" xfId="0" applyNumberFormat="1" applyFont="1" applyFill="1" applyBorder="1" applyAlignment="1" applyProtection="1">
      <alignment horizontal="center" vertical="center" wrapText="1"/>
      <protection locked="0"/>
    </xf>
    <xf numFmtId="49" fontId="6" fillId="7" borderId="1" xfId="0" applyNumberFormat="1" applyFont="1" applyFill="1" applyBorder="1" applyAlignment="1" applyProtection="1">
      <alignment horizontal="left" vertical="center"/>
      <protection locked="0"/>
    </xf>
    <xf numFmtId="49" fontId="1" fillId="3" borderId="5" xfId="0" applyNumberFormat="1" applyFont="1" applyFill="1" applyBorder="1" applyAlignment="1" applyProtection="1">
      <alignment horizontal="center" vertical="center" wrapText="1"/>
      <protection locked="0"/>
    </xf>
    <xf numFmtId="49" fontId="1" fillId="3" borderId="6" xfId="0" applyNumberFormat="1" applyFont="1" applyFill="1" applyBorder="1" applyAlignment="1" applyProtection="1">
      <alignment horizontal="center" vertical="center" wrapText="1"/>
      <protection locked="0"/>
    </xf>
    <xf numFmtId="49" fontId="1" fillId="3" borderId="7" xfId="0" applyNumberFormat="1" applyFont="1" applyFill="1" applyBorder="1" applyAlignment="1" applyProtection="1">
      <alignment horizontal="center" vertical="center" wrapText="1"/>
      <protection locked="0"/>
    </xf>
    <xf numFmtId="49" fontId="1" fillId="3" borderId="5" xfId="0" applyNumberFormat="1" applyFont="1" applyFill="1" applyBorder="1" applyAlignment="1" applyProtection="1">
      <alignment horizontal="center" vertical="center"/>
      <protection locked="0"/>
    </xf>
    <xf numFmtId="49" fontId="1" fillId="3" borderId="6" xfId="0" applyNumberFormat="1" applyFont="1" applyFill="1" applyBorder="1" applyAlignment="1" applyProtection="1">
      <alignment horizontal="center" vertical="center"/>
      <protection locked="0"/>
    </xf>
    <xf numFmtId="49" fontId="1" fillId="3" borderId="7" xfId="0" applyNumberFormat="1" applyFont="1" applyFill="1" applyBorder="1" applyAlignment="1" applyProtection="1">
      <alignment horizontal="center" vertical="center"/>
      <protection locked="0"/>
    </xf>
    <xf numFmtId="0" fontId="3" fillId="6" borderId="1" xfId="0" applyNumberFormat="1" applyFont="1" applyFill="1" applyBorder="1" applyAlignment="1" applyProtection="1">
      <alignment horizontal="center" vertical="center"/>
      <protection locked="0"/>
    </xf>
    <xf numFmtId="0" fontId="4" fillId="6" borderId="1" xfId="0" applyNumberFormat="1" applyFont="1" applyFill="1" applyBorder="1" applyAlignment="1" applyProtection="1">
      <alignment horizontal="center" vertical="center"/>
      <protection locked="0"/>
    </xf>
    <xf numFmtId="49" fontId="3" fillId="8" borderId="1" xfId="0" applyNumberFormat="1" applyFont="1" applyFill="1" applyBorder="1" applyAlignment="1" applyProtection="1">
      <alignment horizontal="center" vertical="center" wrapText="1"/>
      <protection locked="0"/>
    </xf>
    <xf numFmtId="49" fontId="2" fillId="7" borderId="0" xfId="1" applyNumberFormat="1" applyFont="1" applyFill="1" applyAlignment="1" applyProtection="1">
      <alignment horizontal="left" vertical="center"/>
      <protection locked="0"/>
    </xf>
    <xf numFmtId="49" fontId="6" fillId="7" borderId="6" xfId="1" applyNumberFormat="1" applyFont="1" applyFill="1" applyBorder="1" applyAlignment="1" applyProtection="1">
      <alignment horizontal="left" vertical="center"/>
      <protection locked="0"/>
    </xf>
    <xf numFmtId="49" fontId="3" fillId="8" borderId="5" xfId="0" applyNumberFormat="1" applyFont="1" applyFill="1" applyBorder="1" applyAlignment="1" applyProtection="1">
      <alignment horizontal="center" vertical="center" wrapText="1"/>
      <protection locked="0"/>
    </xf>
    <xf numFmtId="49" fontId="3" fillId="8" borderId="6" xfId="0" applyNumberFormat="1" applyFont="1" applyFill="1" applyBorder="1" applyAlignment="1" applyProtection="1">
      <alignment horizontal="center" vertical="center" wrapText="1"/>
      <protection locked="0"/>
    </xf>
    <xf numFmtId="49" fontId="3" fillId="8" borderId="7" xfId="0" applyNumberFormat="1" applyFont="1" applyFill="1" applyBorder="1" applyAlignment="1" applyProtection="1">
      <alignment horizontal="center" vertical="center" wrapText="1"/>
      <protection locked="0"/>
    </xf>
    <xf numFmtId="0" fontId="3" fillId="8" borderId="5" xfId="0" applyNumberFormat="1" applyFont="1" applyFill="1" applyBorder="1" applyAlignment="1" applyProtection="1">
      <alignment horizontal="center" vertical="center" wrapText="1"/>
      <protection locked="0"/>
    </xf>
    <xf numFmtId="0" fontId="3" fillId="8" borderId="7" xfId="0" applyNumberFormat="1" applyFont="1" applyFill="1" applyBorder="1" applyAlignment="1" applyProtection="1">
      <alignment horizontal="center" vertical="center" wrapText="1"/>
      <protection locked="0"/>
    </xf>
    <xf numFmtId="0" fontId="3" fillId="6" borderId="1" xfId="0" applyNumberFormat="1" applyFont="1" applyFill="1" applyBorder="1" applyAlignment="1" applyProtection="1">
      <alignment horizontal="center" vertical="center" wrapText="1"/>
      <protection locked="0"/>
    </xf>
    <xf numFmtId="49" fontId="3" fillId="8" borderId="2" xfId="0" applyNumberFormat="1" applyFont="1" applyFill="1" applyBorder="1" applyAlignment="1" applyProtection="1">
      <alignment horizontal="center" vertical="center"/>
      <protection locked="0"/>
    </xf>
    <xf numFmtId="49" fontId="4" fillId="8" borderId="2" xfId="0" applyNumberFormat="1" applyFont="1" applyFill="1" applyBorder="1" applyAlignment="1" applyProtection="1">
      <alignment horizontal="center" vertical="center"/>
      <protection locked="0"/>
    </xf>
    <xf numFmtId="49" fontId="4" fillId="8" borderId="9" xfId="0" applyNumberFormat="1" applyFont="1" applyFill="1" applyBorder="1" applyAlignment="1" applyProtection="1">
      <alignment horizontal="center" vertical="center"/>
      <protection locked="0"/>
    </xf>
    <xf numFmtId="49" fontId="3" fillId="8" borderId="3" xfId="0" applyNumberFormat="1" applyFont="1" applyFill="1" applyBorder="1" applyAlignment="1" applyProtection="1">
      <alignment horizontal="center" vertical="center" wrapText="1"/>
      <protection locked="0"/>
    </xf>
    <xf numFmtId="49" fontId="3" fillId="8" borderId="8" xfId="0" applyNumberFormat="1" applyFont="1" applyFill="1" applyBorder="1" applyAlignment="1" applyProtection="1">
      <alignment horizontal="center" vertical="center" wrapText="1"/>
      <protection locked="0"/>
    </xf>
    <xf numFmtId="49" fontId="3" fillId="8" borderId="10" xfId="0" applyNumberFormat="1" applyFont="1" applyFill="1" applyBorder="1" applyAlignment="1" applyProtection="1">
      <alignment horizontal="center" vertical="center" wrapText="1"/>
      <protection locked="0"/>
    </xf>
    <xf numFmtId="49" fontId="3" fillId="8" borderId="4" xfId="0" applyNumberFormat="1" applyFont="1" applyFill="1" applyBorder="1" applyAlignment="1" applyProtection="1">
      <alignment horizontal="center" vertical="center" wrapText="1"/>
      <protection locked="0"/>
    </xf>
    <xf numFmtId="49" fontId="3" fillId="8" borderId="2" xfId="0" applyNumberFormat="1" applyFont="1" applyFill="1" applyBorder="1" applyAlignment="1" applyProtection="1">
      <alignment horizontal="center" vertical="center" wrapText="1"/>
      <protection locked="0"/>
    </xf>
    <xf numFmtId="49" fontId="3" fillId="8" borderId="9" xfId="0" applyNumberFormat="1" applyFont="1" applyFill="1" applyBorder="1" applyAlignment="1" applyProtection="1">
      <alignment horizontal="center" vertical="center" wrapText="1"/>
      <protection locked="0"/>
    </xf>
    <xf numFmtId="0" fontId="3" fillId="8" borderId="4" xfId="0" applyNumberFormat="1" applyFont="1" applyFill="1" applyBorder="1" applyAlignment="1" applyProtection="1">
      <alignment horizontal="center" vertical="center" wrapText="1"/>
      <protection locked="0"/>
    </xf>
    <xf numFmtId="0" fontId="4" fillId="8" borderId="9" xfId="0" applyNumberFormat="1" applyFont="1" applyFill="1" applyBorder="1" applyAlignment="1" applyProtection="1">
      <alignment horizontal="center" vertical="center" wrapText="1"/>
      <protection locked="0"/>
    </xf>
    <xf numFmtId="0" fontId="5" fillId="6"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center" vertical="center" wrapText="1"/>
      <protection locked="0"/>
    </xf>
    <xf numFmtId="0" fontId="4" fillId="6" borderId="1" xfId="0" applyNumberFormat="1" applyFont="1" applyFill="1" applyBorder="1" applyAlignment="1" applyProtection="1">
      <alignment horizontal="center" vertical="center" wrapText="1"/>
      <protection locked="0"/>
    </xf>
    <xf numFmtId="0" fontId="5" fillId="8" borderId="4" xfId="0" applyNumberFormat="1" applyFont="1" applyFill="1" applyBorder="1" applyAlignment="1" applyProtection="1">
      <alignment horizontal="center" vertical="center" wrapText="1"/>
      <protection locked="0"/>
    </xf>
    <xf numFmtId="0" fontId="5" fillId="8" borderId="9" xfId="0" applyNumberFormat="1" applyFont="1" applyFill="1" applyBorder="1" applyAlignment="1" applyProtection="1">
      <alignment horizontal="center" vertical="center" wrapText="1"/>
      <protection locked="0"/>
    </xf>
    <xf numFmtId="0" fontId="5" fillId="4" borderId="1" xfId="0" applyNumberFormat="1" applyFont="1" applyFill="1" applyBorder="1" applyAlignment="1" applyProtection="1">
      <alignment horizontal="center" vertical="center"/>
      <protection locked="0"/>
    </xf>
  </cellXfs>
  <cellStyles count="2">
    <cellStyle name="常规" xfId="0" builtinId="0"/>
    <cellStyle name="常规 2" xfId="1"/>
  </cellStyles>
  <dxfs count="0"/>
  <tableStyles count="0" defaultTableStyle="TableStyleMedium2" defaultPivotStyle="PivotStyleMedium9"/>
  <colors>
    <mruColors>
      <color rgb="FFF2F3F8"/>
      <color rgb="FF689CDA"/>
      <color rgb="FFF5F6F9"/>
      <color rgb="FFFFFFCC"/>
      <color rgb="FFFFFF66"/>
      <color rgb="FFEDF676"/>
      <color rgb="FFE6E686"/>
      <color rgb="FF8385E9"/>
      <color rgb="FFFFFC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17</xdr:col>
      <xdr:colOff>209550</xdr:colOff>
      <xdr:row>15</xdr:row>
      <xdr:rowOff>0</xdr:rowOff>
    </xdr:from>
    <xdr:ext cx="240030" cy="171450"/>
    <xdr:sp macro="" textlink="">
      <xdr:nvSpPr>
        <xdr:cNvPr id="2" name="TextBox 1"/>
        <xdr:cNvSpPr txBox="1"/>
      </xdr:nvSpPr>
      <xdr:spPr>
        <a:xfrm>
          <a:off x="15982950" y="4960620"/>
          <a:ext cx="24003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1100"/>
        </a:p>
      </xdr:txBody>
    </xdr:sp>
    <xdr:clientData/>
  </xdr:oneCellAnchor>
  <xdr:oneCellAnchor>
    <xdr:from>
      <xdr:col>19</xdr:col>
      <xdr:colOff>445770</xdr:colOff>
      <xdr:row>14</xdr:row>
      <xdr:rowOff>45720</xdr:rowOff>
    </xdr:from>
    <xdr:ext cx="1146810" cy="392430"/>
    <xdr:sp macro="" textlink="">
      <xdr:nvSpPr>
        <xdr:cNvPr id="3" name="TextBox 2"/>
        <xdr:cNvSpPr txBox="1"/>
      </xdr:nvSpPr>
      <xdr:spPr>
        <a:xfrm>
          <a:off x="20013930" y="4684395"/>
          <a:ext cx="1146810" cy="39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800"/>
        </a:p>
      </xdr:txBody>
    </xdr:sp>
    <xdr:clientData/>
  </xdr:oneCellAnchor>
  <xdr:oneCellAnchor>
    <xdr:from>
      <xdr:col>2</xdr:col>
      <xdr:colOff>909917</xdr:colOff>
      <xdr:row>24</xdr:row>
      <xdr:rowOff>53787</xdr:rowOff>
    </xdr:from>
    <xdr:ext cx="65" cy="172227"/>
    <xdr:sp macro="" textlink="">
      <xdr:nvSpPr>
        <xdr:cNvPr id="4" name="文本框 3"/>
        <xdr:cNvSpPr txBox="1"/>
      </xdr:nvSpPr>
      <xdr:spPr>
        <a:xfrm>
          <a:off x="3782060" y="9734550"/>
          <a:ext cx="635"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2</xdr:col>
      <xdr:colOff>1743635</xdr:colOff>
      <xdr:row>24</xdr:row>
      <xdr:rowOff>17928</xdr:rowOff>
    </xdr:from>
    <xdr:ext cx="65" cy="172227"/>
    <xdr:sp macro="" textlink="">
      <xdr:nvSpPr>
        <xdr:cNvPr id="5" name="文本框 4"/>
        <xdr:cNvSpPr txBox="1"/>
      </xdr:nvSpPr>
      <xdr:spPr>
        <a:xfrm>
          <a:off x="4615815" y="9698990"/>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5</xdr:col>
      <xdr:colOff>129988</xdr:colOff>
      <xdr:row>25</xdr:row>
      <xdr:rowOff>466164</xdr:rowOff>
    </xdr:from>
    <xdr:ext cx="65" cy="172227"/>
    <xdr:sp macro="" textlink="">
      <xdr:nvSpPr>
        <xdr:cNvPr id="6" name="文本框 5"/>
        <xdr:cNvSpPr txBox="1"/>
      </xdr:nvSpPr>
      <xdr:spPr>
        <a:xfrm>
          <a:off x="9738360" y="10572115"/>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0"/>
  <sheetViews>
    <sheetView topLeftCell="A10" zoomScale="85" zoomScaleNormal="85" workbookViewId="0">
      <selection activeCell="B15" sqref="B15:E15"/>
    </sheetView>
  </sheetViews>
  <sheetFormatPr defaultColWidth="9" defaultRowHeight="20.25" customHeight="1"/>
  <cols>
    <col min="1" max="1" width="22.77734375" style="15" customWidth="1"/>
    <col min="2" max="2" width="19.109375" style="15" customWidth="1"/>
    <col min="3" max="3" width="32.6640625" style="15" customWidth="1"/>
    <col min="4" max="4" width="21.88671875" style="15" customWidth="1"/>
    <col min="5" max="5" width="43.6640625" style="15" customWidth="1"/>
    <col min="6" max="6" width="29.77734375" style="2" customWidth="1"/>
    <col min="7" max="16" width="5.109375" style="2" customWidth="1"/>
    <col min="17" max="17" width="9" style="2"/>
    <col min="18" max="18" width="25.33203125" style="2" customWidth="1"/>
    <col min="19" max="19" width="30" style="2" customWidth="1"/>
    <col min="20" max="16384" width="9" style="2"/>
  </cols>
  <sheetData>
    <row r="1" spans="1:29" ht="20.25" customHeight="1">
      <c r="A1" s="90" t="s">
        <v>0</v>
      </c>
      <c r="B1" s="90"/>
      <c r="C1" s="90"/>
      <c r="D1" s="90"/>
      <c r="E1" s="90"/>
      <c r="F1" s="16" t="s">
        <v>1</v>
      </c>
      <c r="G1" s="17"/>
      <c r="H1" s="17"/>
      <c r="I1" s="17"/>
      <c r="J1" s="17"/>
      <c r="K1" s="17"/>
      <c r="L1" s="17"/>
      <c r="M1" s="17"/>
      <c r="N1" s="17"/>
      <c r="O1" s="17"/>
      <c r="P1" s="40"/>
      <c r="Q1" s="49"/>
      <c r="R1" s="49"/>
      <c r="S1" s="49"/>
      <c r="T1" s="50"/>
      <c r="U1" s="50"/>
      <c r="V1" s="51"/>
      <c r="W1" s="51"/>
      <c r="X1" s="51"/>
      <c r="Y1" s="51"/>
      <c r="Z1" s="51"/>
      <c r="AA1" s="51"/>
      <c r="AB1" s="51"/>
      <c r="AC1" s="51"/>
    </row>
    <row r="2" spans="1:29" s="1" customFormat="1" ht="21" customHeight="1">
      <c r="A2" s="18" t="s">
        <v>2</v>
      </c>
      <c r="B2" s="91"/>
      <c r="C2" s="92"/>
      <c r="D2" s="92"/>
      <c r="E2" s="93"/>
      <c r="F2" s="19"/>
      <c r="G2" s="17"/>
      <c r="H2" s="53" t="s">
        <v>3</v>
      </c>
      <c r="I2" s="53"/>
      <c r="J2" s="53"/>
      <c r="K2" s="20"/>
      <c r="L2" s="53" t="s">
        <v>4</v>
      </c>
      <c r="M2" s="53"/>
      <c r="N2" s="53"/>
      <c r="O2" s="17"/>
      <c r="P2" s="40"/>
      <c r="Q2" s="49"/>
      <c r="R2" s="49" t="s">
        <v>5</v>
      </c>
      <c r="S2" s="49" t="s">
        <v>6</v>
      </c>
      <c r="U2" s="50"/>
      <c r="V2" s="46"/>
      <c r="W2" s="46"/>
      <c r="X2" s="46"/>
      <c r="Y2" s="46"/>
      <c r="Z2" s="46"/>
      <c r="AA2" s="46"/>
      <c r="AB2" s="46"/>
      <c r="AC2" s="46"/>
    </row>
    <row r="3" spans="1:29" s="1" customFormat="1" ht="21" customHeight="1">
      <c r="A3" s="18" t="s">
        <v>7</v>
      </c>
      <c r="B3" s="94"/>
      <c r="C3" s="95"/>
      <c r="D3" s="95"/>
      <c r="E3" s="96"/>
      <c r="F3" s="19"/>
      <c r="G3" s="17"/>
      <c r="H3" s="53"/>
      <c r="I3" s="53"/>
      <c r="J3" s="53"/>
      <c r="K3" s="20"/>
      <c r="L3" s="53"/>
      <c r="M3" s="53"/>
      <c r="N3" s="53"/>
      <c r="O3" s="17"/>
      <c r="P3" s="40"/>
      <c r="Q3" s="49"/>
      <c r="R3" s="49" t="s">
        <v>8</v>
      </c>
      <c r="S3" s="49" t="s">
        <v>9</v>
      </c>
      <c r="U3" s="50"/>
      <c r="V3" s="46"/>
      <c r="W3" s="46"/>
      <c r="X3" s="46"/>
      <c r="Y3" s="46"/>
      <c r="Z3" s="46"/>
      <c r="AA3" s="46"/>
      <c r="AB3" s="46"/>
      <c r="AC3" s="46"/>
    </row>
    <row r="4" spans="1:29" s="1" customFormat="1" ht="21" customHeight="1">
      <c r="A4" s="18" t="s">
        <v>10</v>
      </c>
      <c r="B4" s="94"/>
      <c r="C4" s="95"/>
      <c r="D4" s="95"/>
      <c r="E4" s="96"/>
      <c r="F4" s="19"/>
      <c r="G4" s="17"/>
      <c r="H4" s="20"/>
      <c r="I4" s="20"/>
      <c r="J4" s="20"/>
      <c r="K4" s="20"/>
      <c r="L4" s="20"/>
      <c r="M4" s="41"/>
      <c r="N4" s="41"/>
      <c r="O4" s="17"/>
      <c r="P4" s="40"/>
      <c r="Q4" s="49"/>
      <c r="R4" s="49" t="s">
        <v>11</v>
      </c>
      <c r="S4" s="49" t="s">
        <v>12</v>
      </c>
      <c r="U4" s="50"/>
      <c r="V4" s="46"/>
      <c r="W4" s="46"/>
      <c r="X4" s="46"/>
      <c r="Y4" s="46"/>
      <c r="Z4" s="46"/>
      <c r="AA4" s="46"/>
      <c r="AB4" s="46"/>
      <c r="AC4" s="46"/>
    </row>
    <row r="5" spans="1:29" s="1" customFormat="1" ht="21" customHeight="1">
      <c r="A5" s="18" t="s">
        <v>13</v>
      </c>
      <c r="B5" s="94"/>
      <c r="C5" s="95"/>
      <c r="D5" s="95"/>
      <c r="E5" s="96"/>
      <c r="F5" s="19"/>
      <c r="G5" s="17"/>
      <c r="H5" s="53" t="s">
        <v>14</v>
      </c>
      <c r="I5" s="53"/>
      <c r="J5" s="53"/>
      <c r="K5" s="20"/>
      <c r="L5" s="53" t="s">
        <v>15</v>
      </c>
      <c r="M5" s="53"/>
      <c r="N5" s="53"/>
      <c r="O5" s="17"/>
      <c r="P5" s="40"/>
      <c r="Q5" s="49"/>
      <c r="R5" s="49" t="s">
        <v>16</v>
      </c>
      <c r="S5" s="49" t="s">
        <v>17</v>
      </c>
      <c r="U5" s="50"/>
      <c r="V5" s="46"/>
      <c r="W5" s="46"/>
      <c r="X5" s="46"/>
      <c r="Y5" s="46"/>
      <c r="Z5" s="46"/>
      <c r="AA5" s="46"/>
      <c r="AB5" s="46"/>
      <c r="AC5" s="46"/>
    </row>
    <row r="6" spans="1:29" s="1" customFormat="1" ht="21" customHeight="1">
      <c r="A6" s="18" t="s">
        <v>18</v>
      </c>
      <c r="B6" s="81" t="s">
        <v>19</v>
      </c>
      <c r="C6" s="82"/>
      <c r="D6" s="82"/>
      <c r="E6" s="83"/>
      <c r="F6" s="21"/>
      <c r="G6" s="17"/>
      <c r="H6" s="53"/>
      <c r="I6" s="53"/>
      <c r="J6" s="53"/>
      <c r="K6" s="20"/>
      <c r="L6" s="53"/>
      <c r="M6" s="53"/>
      <c r="N6" s="53"/>
      <c r="O6" s="17"/>
      <c r="P6" s="40"/>
      <c r="Q6" s="49"/>
      <c r="R6" s="49" t="s">
        <v>20</v>
      </c>
      <c r="S6" s="49" t="s">
        <v>21</v>
      </c>
      <c r="U6" s="50"/>
      <c r="V6" s="46"/>
      <c r="W6" s="46"/>
      <c r="X6" s="46"/>
      <c r="Y6" s="46"/>
      <c r="Z6" s="46"/>
      <c r="AA6" s="46"/>
      <c r="AB6" s="46"/>
      <c r="AC6" s="46"/>
    </row>
    <row r="7" spans="1:29" s="1" customFormat="1" ht="21" customHeight="1">
      <c r="A7" s="18" t="s">
        <v>22</v>
      </c>
      <c r="B7" s="81" t="s">
        <v>23</v>
      </c>
      <c r="C7" s="82"/>
      <c r="D7" s="82"/>
      <c r="E7" s="83"/>
      <c r="F7" s="21"/>
      <c r="G7" s="17"/>
      <c r="H7" s="53"/>
      <c r="I7" s="53"/>
      <c r="J7" s="53"/>
      <c r="K7" s="20"/>
      <c r="L7" s="53"/>
      <c r="M7" s="53"/>
      <c r="N7" s="53"/>
      <c r="O7" s="17"/>
      <c r="P7" s="40"/>
      <c r="Q7" s="49"/>
      <c r="R7" s="49" t="s">
        <v>24</v>
      </c>
      <c r="S7" s="49" t="s">
        <v>25</v>
      </c>
      <c r="U7" s="50"/>
      <c r="V7" s="46"/>
      <c r="W7" s="46"/>
      <c r="X7" s="46"/>
      <c r="Y7" s="46"/>
      <c r="Z7" s="46"/>
      <c r="AA7" s="46"/>
      <c r="AB7" s="46"/>
      <c r="AC7" s="46"/>
    </row>
    <row r="8" spans="1:29" s="1" customFormat="1" ht="43.2" customHeight="1">
      <c r="A8" s="18" t="s">
        <v>26</v>
      </c>
      <c r="B8" s="84" t="s">
        <v>27</v>
      </c>
      <c r="C8" s="85"/>
      <c r="D8" s="85"/>
      <c r="E8" s="86"/>
      <c r="F8" s="21"/>
      <c r="G8" s="17"/>
      <c r="H8" s="22"/>
      <c r="I8" s="22"/>
      <c r="J8" s="22"/>
      <c r="K8" s="42"/>
      <c r="L8" s="22"/>
      <c r="M8" s="22"/>
      <c r="N8" s="22"/>
      <c r="O8" s="17"/>
      <c r="P8" s="40"/>
      <c r="Q8" s="49"/>
      <c r="R8" s="49"/>
      <c r="S8" s="49"/>
      <c r="T8" s="50"/>
      <c r="U8" s="50"/>
      <c r="V8" s="46"/>
      <c r="W8" s="46"/>
      <c r="X8" s="46"/>
      <c r="Y8" s="46"/>
      <c r="Z8" s="46"/>
      <c r="AA8" s="46"/>
      <c r="AB8" s="46"/>
      <c r="AC8" s="46"/>
    </row>
    <row r="9" spans="1:29" s="1" customFormat="1" ht="21" customHeight="1">
      <c r="A9" s="18" t="s">
        <v>28</v>
      </c>
      <c r="B9" s="87"/>
      <c r="C9" s="87"/>
      <c r="D9" s="24" t="s">
        <v>29</v>
      </c>
      <c r="E9" s="23"/>
      <c r="F9" s="25"/>
      <c r="G9" s="2"/>
      <c r="H9" s="2"/>
      <c r="M9" s="2"/>
      <c r="N9" s="2"/>
      <c r="O9" s="2"/>
      <c r="P9" s="25"/>
      <c r="Q9" s="52"/>
      <c r="R9" s="52"/>
      <c r="S9" s="52"/>
      <c r="T9" s="46"/>
      <c r="U9" s="46"/>
      <c r="V9" s="46"/>
      <c r="W9" s="46"/>
      <c r="X9" s="46"/>
      <c r="Y9" s="46"/>
      <c r="Z9" s="46"/>
      <c r="AA9" s="46"/>
      <c r="AB9" s="46"/>
      <c r="AC9" s="46"/>
    </row>
    <row r="10" spans="1:29" s="1" customFormat="1" ht="21" customHeight="1">
      <c r="A10" s="18" t="s">
        <v>30</v>
      </c>
      <c r="B10" s="84" t="s">
        <v>31</v>
      </c>
      <c r="C10" s="88"/>
      <c r="D10" s="88"/>
      <c r="E10" s="89"/>
      <c r="F10" s="25"/>
      <c r="G10" s="2"/>
      <c r="H10" s="2"/>
      <c r="I10" s="43" t="s">
        <v>32</v>
      </c>
      <c r="J10" s="44"/>
      <c r="K10" s="25"/>
      <c r="L10" s="25"/>
      <c r="M10" s="2"/>
      <c r="N10" s="2"/>
      <c r="O10" s="2"/>
      <c r="P10" s="25"/>
      <c r="Q10" s="52"/>
      <c r="R10" s="52"/>
      <c r="S10" s="52"/>
      <c r="T10" s="46"/>
      <c r="U10" s="46"/>
      <c r="V10" s="46"/>
      <c r="W10" s="46"/>
      <c r="X10" s="46"/>
      <c r="Y10" s="46"/>
      <c r="Z10" s="46"/>
      <c r="AA10" s="46"/>
      <c r="AB10" s="46"/>
      <c r="AC10" s="46"/>
    </row>
    <row r="11" spans="1:29" s="1" customFormat="1" ht="21" customHeight="1">
      <c r="A11" s="18" t="s">
        <v>33</v>
      </c>
      <c r="B11" s="72">
        <v>1</v>
      </c>
      <c r="C11" s="73"/>
      <c r="D11" s="73"/>
      <c r="E11" s="74"/>
      <c r="F11" s="25"/>
      <c r="G11" s="25"/>
      <c r="H11" s="2"/>
      <c r="I11" s="45"/>
      <c r="J11" s="46" t="s">
        <v>34</v>
      </c>
      <c r="K11" s="25"/>
      <c r="L11" s="25"/>
      <c r="M11" s="25"/>
      <c r="N11" s="25"/>
      <c r="O11" s="25"/>
      <c r="P11" s="25"/>
      <c r="Q11" s="46"/>
      <c r="R11" s="46"/>
      <c r="S11" s="46"/>
      <c r="T11" s="46"/>
      <c r="U11" s="46"/>
      <c r="V11" s="46"/>
      <c r="W11" s="46"/>
      <c r="X11" s="46"/>
      <c r="Y11" s="46"/>
      <c r="Z11" s="46"/>
      <c r="AA11" s="46"/>
      <c r="AB11" s="46"/>
      <c r="AC11" s="46"/>
    </row>
    <row r="12" spans="1:29" s="1" customFormat="1" ht="47.4" customHeight="1">
      <c r="A12" s="18" t="s">
        <v>35</v>
      </c>
      <c r="B12" s="75" t="s">
        <v>36</v>
      </c>
      <c r="C12" s="73"/>
      <c r="D12" s="73"/>
      <c r="E12" s="74"/>
      <c r="F12" s="26" t="s">
        <v>37</v>
      </c>
      <c r="G12" s="25"/>
      <c r="H12" s="2"/>
      <c r="I12" s="47"/>
      <c r="J12" s="46" t="s">
        <v>38</v>
      </c>
      <c r="K12" s="2"/>
      <c r="L12" s="2"/>
      <c r="M12" s="25"/>
      <c r="N12" s="25"/>
      <c r="O12" s="25"/>
      <c r="P12" s="25"/>
      <c r="Q12" s="46"/>
      <c r="R12" s="46"/>
      <c r="S12" s="46"/>
      <c r="T12" s="46"/>
      <c r="U12" s="46"/>
      <c r="V12" s="46"/>
      <c r="W12" s="46"/>
      <c r="X12" s="46"/>
      <c r="Y12" s="46"/>
      <c r="Z12" s="46"/>
      <c r="AA12" s="46"/>
      <c r="AB12" s="46"/>
      <c r="AC12" s="46"/>
    </row>
    <row r="13" spans="1:29" s="1" customFormat="1" ht="39.6" customHeight="1">
      <c r="A13" s="18" t="s">
        <v>39</v>
      </c>
      <c r="B13" s="75" t="str">
        <f>IFERROR(VLOOKUP(B12,R2:S7,2,),"")</f>
        <v xml:space="preserve">   Agilent7890B/5977A</v>
      </c>
      <c r="C13" s="73"/>
      <c r="D13" s="73"/>
      <c r="E13" s="74"/>
      <c r="F13" s="26" t="s">
        <v>40</v>
      </c>
      <c r="G13" s="25"/>
      <c r="H13" s="2"/>
      <c r="I13" s="48"/>
      <c r="J13" s="46" t="s">
        <v>41</v>
      </c>
      <c r="K13" s="2"/>
      <c r="L13" s="2"/>
      <c r="M13" s="25"/>
      <c r="N13" s="25"/>
      <c r="O13" s="25"/>
      <c r="P13" s="25"/>
      <c r="Q13" s="46"/>
      <c r="R13" s="46"/>
      <c r="S13" s="46"/>
      <c r="T13" s="46"/>
      <c r="U13" s="46"/>
      <c r="V13" s="46"/>
      <c r="W13" s="46"/>
      <c r="X13" s="46"/>
      <c r="Y13" s="46"/>
      <c r="Z13" s="46"/>
      <c r="AA13" s="46"/>
      <c r="AB13" s="46"/>
      <c r="AC13" s="46"/>
    </row>
    <row r="14" spans="1:29" s="1" customFormat="1" ht="25.8" customHeight="1">
      <c r="A14" s="18" t="s">
        <v>42</v>
      </c>
      <c r="B14" s="72"/>
      <c r="C14" s="76"/>
      <c r="D14" s="76"/>
      <c r="E14" s="77"/>
      <c r="F14" s="27" t="s">
        <v>43</v>
      </c>
      <c r="G14" s="25"/>
      <c r="H14" s="2"/>
      <c r="I14" s="25"/>
      <c r="J14" s="46"/>
      <c r="K14" s="2"/>
      <c r="L14" s="2"/>
      <c r="M14" s="25"/>
      <c r="N14" s="25"/>
      <c r="O14" s="25"/>
      <c r="P14" s="25"/>
      <c r="Q14" s="46"/>
      <c r="R14" s="46"/>
      <c r="S14" s="46"/>
      <c r="T14" s="46"/>
      <c r="U14" s="46"/>
      <c r="V14" s="46"/>
      <c r="W14" s="46"/>
      <c r="X14" s="46"/>
      <c r="Y14" s="46"/>
      <c r="Z14" s="46"/>
      <c r="AA14" s="46"/>
      <c r="AB14" s="46"/>
      <c r="AC14" s="46"/>
    </row>
    <row r="15" spans="1:29" ht="25.35" customHeight="1">
      <c r="A15" s="28" t="s">
        <v>44</v>
      </c>
      <c r="B15" s="78">
        <v>200</v>
      </c>
      <c r="C15" s="79"/>
      <c r="D15" s="79"/>
      <c r="E15" s="80"/>
      <c r="F15" s="27" t="s">
        <v>45</v>
      </c>
      <c r="G15" s="25"/>
      <c r="I15" s="25"/>
      <c r="J15" s="46"/>
      <c r="M15" s="25"/>
      <c r="N15" s="25"/>
      <c r="O15" s="25"/>
      <c r="P15" s="25"/>
      <c r="Q15" s="51"/>
      <c r="R15" s="51"/>
      <c r="S15" s="51"/>
      <c r="T15" s="51"/>
      <c r="U15" s="51"/>
      <c r="V15" s="51"/>
      <c r="W15" s="51"/>
      <c r="X15" s="51"/>
      <c r="Y15" s="51"/>
      <c r="Z15" s="51"/>
      <c r="AA15" s="51"/>
      <c r="AB15" s="51"/>
      <c r="AC15" s="51"/>
    </row>
    <row r="16" spans="1:29" ht="68.400000000000006" customHeight="1">
      <c r="A16" s="55" t="s">
        <v>46</v>
      </c>
      <c r="B16" s="28" t="s">
        <v>47</v>
      </c>
      <c r="C16" s="29" t="s">
        <v>48</v>
      </c>
      <c r="D16" s="28" t="s">
        <v>49</v>
      </c>
      <c r="E16" s="29" t="s">
        <v>50</v>
      </c>
      <c r="F16" s="30"/>
      <c r="G16" s="30"/>
      <c r="H16" s="14"/>
      <c r="I16" s="25"/>
      <c r="J16" s="14"/>
      <c r="K16" s="14"/>
      <c r="L16" s="30"/>
      <c r="M16" s="30"/>
      <c r="N16" s="30"/>
      <c r="O16" s="30"/>
      <c r="P16" s="30"/>
    </row>
    <row r="17" spans="1:16" ht="25.2" customHeight="1">
      <c r="A17" s="56"/>
      <c r="B17" s="28" t="s">
        <v>51</v>
      </c>
      <c r="C17" s="31" t="s">
        <v>52</v>
      </c>
      <c r="D17" s="28" t="s">
        <v>53</v>
      </c>
      <c r="E17" s="32">
        <v>290</v>
      </c>
    </row>
    <row r="18" spans="1:16" ht="25.2" customHeight="1">
      <c r="A18" s="57"/>
      <c r="B18" s="28" t="s">
        <v>54</v>
      </c>
      <c r="C18" s="33">
        <v>1</v>
      </c>
      <c r="D18" s="28" t="s">
        <v>55</v>
      </c>
      <c r="E18" s="33">
        <v>1</v>
      </c>
    </row>
    <row r="19" spans="1:16" ht="25.2" customHeight="1">
      <c r="A19" s="56" t="s">
        <v>56</v>
      </c>
      <c r="B19" s="28" t="s">
        <v>57</v>
      </c>
      <c r="C19" s="32">
        <v>150</v>
      </c>
      <c r="D19" s="28" t="s">
        <v>58</v>
      </c>
      <c r="E19" s="32">
        <v>230</v>
      </c>
    </row>
    <row r="20" spans="1:16" ht="25.2" customHeight="1">
      <c r="A20" s="56"/>
      <c r="B20" s="28" t="s">
        <v>59</v>
      </c>
      <c r="C20" s="32">
        <v>260</v>
      </c>
      <c r="D20" s="28" t="s">
        <v>60</v>
      </c>
      <c r="E20" s="32"/>
    </row>
    <row r="21" spans="1:16" ht="37.049999999999997" customHeight="1">
      <c r="A21" s="56"/>
      <c r="B21" s="28" t="s">
        <v>61</v>
      </c>
      <c r="C21" s="60" t="s">
        <v>62</v>
      </c>
      <c r="D21" s="61"/>
      <c r="E21" s="62"/>
    </row>
    <row r="22" spans="1:16" ht="100.95" customHeight="1">
      <c r="A22" s="58" t="s">
        <v>63</v>
      </c>
      <c r="B22" s="34" t="s">
        <v>64</v>
      </c>
      <c r="C22" s="34" t="s">
        <v>65</v>
      </c>
      <c r="D22" s="34" t="s">
        <v>66</v>
      </c>
      <c r="E22" s="35"/>
    </row>
    <row r="23" spans="1:16" s="14" customFormat="1" ht="38.25" customHeight="1">
      <c r="A23" s="59"/>
      <c r="B23" s="34" t="s">
        <v>67</v>
      </c>
      <c r="C23" s="36" t="s">
        <v>68</v>
      </c>
      <c r="D23" s="34" t="s">
        <v>69</v>
      </c>
      <c r="E23" s="35"/>
      <c r="F23" s="2"/>
      <c r="G23" s="2"/>
      <c r="H23" s="2"/>
      <c r="I23" s="2"/>
      <c r="J23" s="2"/>
      <c r="K23" s="2"/>
      <c r="L23" s="2"/>
      <c r="M23" s="2"/>
      <c r="N23" s="2"/>
      <c r="O23" s="2"/>
      <c r="P23" s="2"/>
    </row>
    <row r="24" spans="1:16" s="14" customFormat="1" ht="26.25" customHeight="1">
      <c r="A24" s="37" t="s">
        <v>70</v>
      </c>
      <c r="B24" s="63">
        <v>0</v>
      </c>
      <c r="C24" s="64"/>
      <c r="D24" s="64"/>
      <c r="E24" s="38" t="str">
        <f>IF(B24=0,"ND",B24)</f>
        <v>ND</v>
      </c>
      <c r="F24" s="2"/>
      <c r="G24" s="2"/>
      <c r="H24" s="2"/>
      <c r="I24" s="2"/>
      <c r="J24" s="2"/>
      <c r="K24" s="2"/>
      <c r="L24" s="2"/>
      <c r="M24" s="2"/>
      <c r="N24" s="2"/>
      <c r="O24" s="2"/>
      <c r="P24" s="2"/>
    </row>
    <row r="25" spans="1:16" ht="33.450000000000003" customHeight="1">
      <c r="A25" s="39" t="s">
        <v>71</v>
      </c>
      <c r="B25" s="65" t="s">
        <v>72</v>
      </c>
      <c r="C25" s="66"/>
      <c r="D25" s="66"/>
      <c r="E25" s="67"/>
    </row>
    <row r="26" spans="1:16" ht="90" customHeight="1">
      <c r="A26" s="39" t="s">
        <v>73</v>
      </c>
      <c r="B26" s="68" t="s">
        <v>74</v>
      </c>
      <c r="C26" s="68"/>
      <c r="D26" s="68"/>
      <c r="E26" s="68"/>
    </row>
    <row r="27" spans="1:16" ht="20.25" customHeight="1">
      <c r="A27" s="69" t="s">
        <v>75</v>
      </c>
      <c r="B27" s="70"/>
      <c r="C27" s="70"/>
      <c r="D27" s="70"/>
      <c r="E27" s="71"/>
    </row>
    <row r="28" spans="1:16" ht="20.25" customHeight="1">
      <c r="A28" s="18" t="s">
        <v>76</v>
      </c>
      <c r="B28" s="54"/>
      <c r="C28" s="54"/>
      <c r="D28" s="54"/>
      <c r="E28" s="54"/>
    </row>
    <row r="29" spans="1:16" ht="20.25" customHeight="1">
      <c r="A29" s="18" t="s">
        <v>77</v>
      </c>
      <c r="B29" s="54"/>
      <c r="C29" s="54"/>
      <c r="D29" s="54"/>
      <c r="E29" s="54"/>
    </row>
    <row r="30" spans="1:16" ht="20.25" customHeight="1">
      <c r="A30" s="18" t="s">
        <v>78</v>
      </c>
      <c r="B30" s="54"/>
      <c r="C30" s="54"/>
      <c r="D30" s="54"/>
      <c r="E30" s="54"/>
    </row>
  </sheetData>
  <sheetProtection formatCells="0" formatColumns="0" formatRows="0" sort="0" autoFilter="0" pivotTables="0"/>
  <mergeCells count="30">
    <mergeCell ref="A1:E1"/>
    <mergeCell ref="B2:E2"/>
    <mergeCell ref="B3:E3"/>
    <mergeCell ref="B4:E4"/>
    <mergeCell ref="B5:E5"/>
    <mergeCell ref="B29:E29"/>
    <mergeCell ref="B30:E30"/>
    <mergeCell ref="A16:A18"/>
    <mergeCell ref="A19:A21"/>
    <mergeCell ref="A22:A23"/>
    <mergeCell ref="C21:E21"/>
    <mergeCell ref="B24:D24"/>
    <mergeCell ref="B25:E25"/>
    <mergeCell ref="B26:E26"/>
    <mergeCell ref="A27:E27"/>
    <mergeCell ref="H2:J3"/>
    <mergeCell ref="L2:N3"/>
    <mergeCell ref="H5:J7"/>
    <mergeCell ref="L5:N7"/>
    <mergeCell ref="B28:E28"/>
    <mergeCell ref="B11:E11"/>
    <mergeCell ref="B12:E12"/>
    <mergeCell ref="B13:E13"/>
    <mergeCell ref="B14:E14"/>
    <mergeCell ref="B15:E15"/>
    <mergeCell ref="B6:E6"/>
    <mergeCell ref="B7:E7"/>
    <mergeCell ref="B8:E8"/>
    <mergeCell ref="B9:C9"/>
    <mergeCell ref="B10:E10"/>
  </mergeCells>
  <phoneticPr fontId="21" type="noConversion"/>
  <dataValidations count="4">
    <dataValidation type="list" allowBlank="1" showInputMessage="1" sqref="B12:E12">
      <formula1>$R$2:$R$7</formula1>
    </dataValidation>
    <dataValidation type="list" allowBlank="1" showInputMessage="1" sqref="C16">
      <formula1>$F$12:$F$13</formula1>
    </dataValidation>
    <dataValidation type="list" allowBlank="1" showInputMessage="1" sqref="C17">
      <formula1>$F$14:$F$15</formula1>
    </dataValidation>
    <dataValidation type="list" allowBlank="1" showInputMessage="1" showErrorMessage="1" sqref="B21">
      <formula1>#REF!</formula1>
    </dataValidation>
  </dataValidations>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373"/>
  <sheetViews>
    <sheetView tabSelected="1" workbookViewId="0">
      <selection activeCell="L7" sqref="L7"/>
    </sheetView>
  </sheetViews>
  <sheetFormatPr defaultColWidth="9" defaultRowHeight="13.8"/>
  <cols>
    <col min="1" max="1" width="9" style="2"/>
    <col min="2" max="2" width="15.109375" style="3" customWidth="1"/>
    <col min="3" max="3" width="15.109375" style="4" customWidth="1"/>
    <col min="4" max="6" width="12.5546875" style="4" customWidth="1"/>
    <col min="7" max="7" width="11.44140625" style="5" customWidth="1"/>
    <col min="8" max="8" width="13.77734375" style="5" customWidth="1"/>
    <col min="9" max="10" width="11.44140625" style="5" customWidth="1"/>
    <col min="11" max="15" width="11.33203125" style="6" customWidth="1"/>
    <col min="16" max="16" width="12.44140625" style="4" customWidth="1"/>
    <col min="17" max="16384" width="9" style="2"/>
  </cols>
  <sheetData>
    <row r="1" spans="1:29" ht="20.25" customHeight="1">
      <c r="A1" s="100" t="s">
        <v>79</v>
      </c>
      <c r="B1" s="100"/>
      <c r="C1" s="100"/>
      <c r="D1" s="100"/>
      <c r="E1" s="100"/>
      <c r="F1" s="100"/>
      <c r="G1" s="100"/>
      <c r="H1" s="100"/>
      <c r="I1" s="100"/>
      <c r="J1" s="100"/>
      <c r="K1" s="101"/>
      <c r="L1" s="11"/>
      <c r="M1" s="11"/>
      <c r="N1" s="11"/>
      <c r="O1" s="11"/>
      <c r="P1" s="12"/>
    </row>
    <row r="2" spans="1:29" s="1" customFormat="1" ht="19.05" customHeight="1">
      <c r="A2" s="108" t="s">
        <v>80</v>
      </c>
      <c r="B2" s="108" t="s">
        <v>81</v>
      </c>
      <c r="C2" s="111" t="s">
        <v>82</v>
      </c>
      <c r="D2" s="114" t="s">
        <v>83</v>
      </c>
      <c r="E2" s="102" t="s">
        <v>84</v>
      </c>
      <c r="F2" s="103"/>
      <c r="G2" s="103"/>
      <c r="H2" s="104"/>
      <c r="I2" s="105" t="s">
        <v>85</v>
      </c>
      <c r="J2" s="106"/>
      <c r="K2" s="107" t="s">
        <v>86</v>
      </c>
      <c r="L2" s="107"/>
      <c r="M2" s="107"/>
      <c r="N2" s="107"/>
      <c r="O2" s="107"/>
      <c r="P2" s="99" t="s">
        <v>87</v>
      </c>
      <c r="Q2" s="2"/>
      <c r="R2" s="2"/>
      <c r="S2" s="2"/>
      <c r="T2" s="2"/>
      <c r="U2" s="2"/>
      <c r="V2" s="2"/>
      <c r="W2" s="2"/>
      <c r="X2" s="2"/>
      <c r="Y2" s="2"/>
      <c r="Z2" s="2"/>
      <c r="AA2" s="2"/>
      <c r="AB2" s="2"/>
      <c r="AC2" s="2"/>
    </row>
    <row r="3" spans="1:29" s="1" customFormat="1" ht="32.4" customHeight="1">
      <c r="A3" s="109"/>
      <c r="B3" s="109"/>
      <c r="C3" s="112"/>
      <c r="D3" s="115"/>
      <c r="E3" s="102" t="s">
        <v>88</v>
      </c>
      <c r="F3" s="103"/>
      <c r="G3" s="104"/>
      <c r="H3" s="122" t="s">
        <v>89</v>
      </c>
      <c r="I3" s="117" t="s">
        <v>90</v>
      </c>
      <c r="J3" s="117" t="s">
        <v>91</v>
      </c>
      <c r="K3" s="107" t="s">
        <v>92</v>
      </c>
      <c r="L3" s="119" t="s">
        <v>93</v>
      </c>
      <c r="M3" s="107" t="s">
        <v>94</v>
      </c>
      <c r="N3" s="107" t="s">
        <v>95</v>
      </c>
      <c r="O3" s="97" t="s">
        <v>96</v>
      </c>
      <c r="P3" s="99"/>
      <c r="Q3" s="2"/>
      <c r="R3" s="2"/>
      <c r="S3" s="2"/>
      <c r="T3" s="2"/>
      <c r="U3" s="2"/>
      <c r="V3" s="2"/>
      <c r="W3" s="2"/>
      <c r="X3" s="2"/>
      <c r="Y3" s="2"/>
      <c r="Z3" s="2"/>
      <c r="AA3" s="2"/>
      <c r="AB3" s="2"/>
      <c r="AC3" s="2"/>
    </row>
    <row r="4" spans="1:29" s="1" customFormat="1" ht="40.799999999999997" customHeight="1">
      <c r="A4" s="110"/>
      <c r="B4" s="110"/>
      <c r="C4" s="113"/>
      <c r="D4" s="116"/>
      <c r="E4" s="7" t="s">
        <v>97</v>
      </c>
      <c r="F4" s="8" t="s">
        <v>98</v>
      </c>
      <c r="G4" s="9" t="s">
        <v>99</v>
      </c>
      <c r="H4" s="123"/>
      <c r="I4" s="118"/>
      <c r="J4" s="118"/>
      <c r="K4" s="107"/>
      <c r="L4" s="120"/>
      <c r="M4" s="121"/>
      <c r="N4" s="121"/>
      <c r="O4" s="98"/>
      <c r="P4" s="99"/>
      <c r="Q4" s="2"/>
      <c r="R4" s="2"/>
      <c r="S4" s="2"/>
      <c r="T4" s="2"/>
      <c r="U4" s="2"/>
      <c r="V4" s="2"/>
      <c r="W4" s="2"/>
      <c r="X4" s="2"/>
      <c r="Y4" s="2"/>
      <c r="Z4" s="2"/>
      <c r="AA4" s="2"/>
      <c r="AB4" s="2"/>
      <c r="AC4" s="2"/>
    </row>
    <row r="5" spans="1:29" ht="20.25" customHeight="1">
      <c r="A5" s="3"/>
      <c r="F5" s="10"/>
      <c r="G5" s="10" t="str">
        <f>IFERROR(baoliuxiaoshuwei((E5-F5)/(E5+F5)*100,0),"")</f>
        <v/>
      </c>
      <c r="H5" s="124" t="str">
        <f>IFERROR(IF(ISBLANK(I5),"",IF(J5="ND","否","是")),"")</f>
        <v/>
      </c>
      <c r="I5" s="10"/>
      <c r="J5" s="10" t="str">
        <f>IFERROR(IF(I5="ND","ND",XiuYue((((I5-基础页!$B$24)*基础页!$B$15/C5)),3,-1,9999)),"")</f>
        <v/>
      </c>
    </row>
    <row r="6" spans="1:29" ht="20.25" customHeight="1">
      <c r="A6" s="3"/>
      <c r="G6" s="10" t="str">
        <f>IFERROR(baoliuxiaoshuwei((E6-F6)/(E6+F6)*100,0),"")</f>
        <v/>
      </c>
      <c r="H6" s="124" t="str">
        <f t="shared" ref="H6:H69" si="0">IFERROR(IF(ISBLANK(I6),"",IF(J6="ND","否","是")),"")</f>
        <v/>
      </c>
      <c r="I6" s="10"/>
      <c r="J6" s="10" t="str">
        <f>IFERROR(IF(I6="ND","ND",XiuYue((((I6-基础页!$B$24)*基础页!$B$15/C6)),3,-1,9999)),"")</f>
        <v/>
      </c>
    </row>
    <row r="7" spans="1:29" ht="20.25" customHeight="1">
      <c r="A7" s="3"/>
      <c r="G7" s="10" t="str">
        <f>IFERROR(baoliuxiaoshuwei((E7-F7)/(E7+F7)*100,0),"")</f>
        <v/>
      </c>
      <c r="H7" s="124" t="str">
        <f t="shared" si="0"/>
        <v/>
      </c>
      <c r="I7" s="10"/>
      <c r="J7" s="10" t="str">
        <f>IFERROR(IF(I7="ND","ND",XiuYue((((I7-基础页!$B$24)*基础页!$B$15/C7)),3,-1,9999)),"")</f>
        <v/>
      </c>
    </row>
    <row r="8" spans="1:29" ht="20.25" customHeight="1">
      <c r="A8" s="3"/>
      <c r="G8" s="10" t="str">
        <f>IFERROR(baoliuxiaoshuwei((E8-F8)/(E8+F8)*100,0),"")</f>
        <v/>
      </c>
      <c r="H8" s="124" t="str">
        <f t="shared" si="0"/>
        <v/>
      </c>
      <c r="I8" s="10"/>
      <c r="J8" s="10" t="str">
        <f>IFERROR(IF(I8="ND","ND",XiuYue((((I8-基础页!$B$24)*基础页!$B$15/C8)),3,-1,9999)),"")</f>
        <v/>
      </c>
    </row>
    <row r="9" spans="1:29" ht="20.25" customHeight="1">
      <c r="A9" s="3"/>
      <c r="G9" s="10" t="str">
        <f>IFERROR(baoliuxiaoshuwei((E9-F9)/(E9+F9)*100,0),"")</f>
        <v/>
      </c>
      <c r="H9" s="124" t="str">
        <f t="shared" si="0"/>
        <v/>
      </c>
      <c r="I9" s="10"/>
      <c r="J9" s="10" t="str">
        <f>IFERROR(IF(I9="ND","ND",XiuYue((((I9-基础页!$B$24)*基础页!$B$15/C9)),3,-1,9999)),"")</f>
        <v/>
      </c>
    </row>
    <row r="10" spans="1:29" ht="20.25" customHeight="1">
      <c r="A10" s="3"/>
      <c r="G10" s="10" t="str">
        <f>IFERROR(baoliuxiaoshuwei((E10-F10)/(E10+F10)*100,0),"")</f>
        <v/>
      </c>
      <c r="H10" s="124" t="str">
        <f t="shared" si="0"/>
        <v/>
      </c>
      <c r="I10" s="10"/>
      <c r="J10" s="10" t="str">
        <f>IFERROR(IF(I10="ND","ND",XiuYue((((I10-基础页!$B$24)*基础页!$B$15/C10)),3,-1,9999)),"")</f>
        <v/>
      </c>
    </row>
    <row r="11" spans="1:29" ht="20.25" customHeight="1">
      <c r="A11" s="3"/>
      <c r="G11" s="10" t="str">
        <f>IFERROR(baoliuxiaoshuwei((E11-F11)/(E11+F11)*100,0),"")</f>
        <v/>
      </c>
      <c r="H11" s="124" t="str">
        <f t="shared" si="0"/>
        <v/>
      </c>
      <c r="I11" s="10"/>
      <c r="J11" s="10" t="str">
        <f>IFERROR(IF(I11="ND","ND",XiuYue((((I11-基础页!$B$24)*基础页!$B$15/C11)),3,-1,9999)),"")</f>
        <v/>
      </c>
    </row>
    <row r="12" spans="1:29" ht="20.25" customHeight="1">
      <c r="A12" s="3"/>
      <c r="G12" s="10" t="str">
        <f>IFERROR(baoliuxiaoshuwei((E12-F12)/(E12+F12)*100,0),"")</f>
        <v/>
      </c>
      <c r="H12" s="124" t="str">
        <f t="shared" si="0"/>
        <v/>
      </c>
      <c r="I12" s="10"/>
      <c r="J12" s="10" t="str">
        <f>IFERROR(IF(I12="ND","ND",XiuYue((((I12-基础页!$B$24)*基础页!$B$15/C12)),3,-1,9999)),"")</f>
        <v/>
      </c>
    </row>
    <row r="13" spans="1:29" ht="20.25" customHeight="1">
      <c r="A13" s="3"/>
      <c r="G13" s="10" t="str">
        <f>IFERROR(baoliuxiaoshuwei((E13-F13)/(E13+F13)*100,0),"")</f>
        <v/>
      </c>
      <c r="H13" s="124" t="str">
        <f t="shared" si="0"/>
        <v/>
      </c>
      <c r="I13" s="10"/>
      <c r="J13" s="10" t="str">
        <f>IFERROR(IF(I13="ND","ND",XiuYue((((I13-基础页!$B$24)*基础页!$B$15/C13)),3,-1,9999)),"")</f>
        <v/>
      </c>
    </row>
    <row r="14" spans="1:29" ht="20.25" customHeight="1">
      <c r="A14" s="3"/>
      <c r="G14" s="10" t="str">
        <f>IFERROR(baoliuxiaoshuwei((E14-F14)/(E14+F14)*100,0),"")</f>
        <v/>
      </c>
      <c r="H14" s="124" t="str">
        <f t="shared" si="0"/>
        <v/>
      </c>
      <c r="I14" s="10"/>
      <c r="J14" s="10" t="str">
        <f>IFERROR(IF(I14="ND","ND",XiuYue((((I14-基础页!$B$24)*基础页!$B$15/C14)),3,-1,9999)),"")</f>
        <v/>
      </c>
    </row>
    <row r="15" spans="1:29" ht="20.25" customHeight="1">
      <c r="A15" s="3"/>
      <c r="G15" s="10" t="str">
        <f>IFERROR(baoliuxiaoshuwei((E15-F15)/(E15+F15)*100,0),"")</f>
        <v/>
      </c>
      <c r="H15" s="124" t="str">
        <f t="shared" si="0"/>
        <v/>
      </c>
      <c r="I15" s="10"/>
      <c r="J15" s="10" t="str">
        <f>IFERROR(IF(I15="ND","ND",XiuYue((((I15-基础页!$B$24)*基础页!$B$15/C15)),3,-1,9999)),"")</f>
        <v/>
      </c>
    </row>
    <row r="16" spans="1:29" ht="20.25" customHeight="1">
      <c r="A16" s="3"/>
      <c r="G16" s="10" t="str">
        <f>IFERROR(baoliuxiaoshuwei((E16-F16)/(E16+F16)*100,0),"")</f>
        <v/>
      </c>
      <c r="H16" s="124" t="str">
        <f t="shared" si="0"/>
        <v/>
      </c>
      <c r="I16" s="10"/>
      <c r="J16" s="10" t="str">
        <f>IFERROR(IF(I16="ND","ND",XiuYue((((I16-基础页!$B$24)*基础页!$B$15/C16)),3,-1,9999)),"")</f>
        <v/>
      </c>
    </row>
    <row r="17" spans="1:10" ht="20.25" customHeight="1">
      <c r="A17" s="3"/>
      <c r="G17" s="10" t="str">
        <f>IFERROR(baoliuxiaoshuwei((E17-F17)/(E17+F17)*100,0),"")</f>
        <v/>
      </c>
      <c r="H17" s="124" t="str">
        <f t="shared" si="0"/>
        <v/>
      </c>
      <c r="I17" s="10"/>
      <c r="J17" s="10" t="str">
        <f>IFERROR(IF(I17="ND","ND",XiuYue((((I17-基础页!$B$24)*基础页!$B$15/C17)),3,-1,9999)),"")</f>
        <v/>
      </c>
    </row>
    <row r="18" spans="1:10" ht="20.25" customHeight="1">
      <c r="A18" s="3"/>
      <c r="G18" s="10" t="str">
        <f>IFERROR(baoliuxiaoshuwei((E18-F18)/(E18+F18)*100,0),"")</f>
        <v/>
      </c>
      <c r="H18" s="124" t="str">
        <f t="shared" si="0"/>
        <v/>
      </c>
      <c r="I18" s="10"/>
      <c r="J18" s="10" t="str">
        <f>IFERROR(IF(I18="ND","ND",XiuYue((((I18-基础页!$B$24)*基础页!$B$15/C18)),3,-1,9999)),"")</f>
        <v/>
      </c>
    </row>
    <row r="19" spans="1:10" ht="20.25" customHeight="1">
      <c r="A19" s="3"/>
      <c r="G19" s="10" t="str">
        <f>IFERROR(baoliuxiaoshuwei((E19-F19)/(E19+F19)*100,0),"")</f>
        <v/>
      </c>
      <c r="H19" s="124" t="str">
        <f t="shared" si="0"/>
        <v/>
      </c>
      <c r="I19" s="10"/>
      <c r="J19" s="10" t="str">
        <f>IFERROR(IF(I19="ND","ND",XiuYue((((I19-基础页!$B$24)*基础页!$B$15/C19)),3,-1,9999)),"")</f>
        <v/>
      </c>
    </row>
    <row r="20" spans="1:10" ht="20.25" customHeight="1">
      <c r="A20" s="3"/>
      <c r="G20" s="10" t="str">
        <f>IFERROR(baoliuxiaoshuwei((E20-F20)/(E20+F20)*100,0),"")</f>
        <v/>
      </c>
      <c r="H20" s="124" t="str">
        <f t="shared" si="0"/>
        <v/>
      </c>
      <c r="I20" s="10"/>
      <c r="J20" s="10" t="str">
        <f>IFERROR(IF(I20="ND","ND",XiuYue((((I20-基础页!$B$24)*基础页!$B$15/C20)),3,-1,9999)),"")</f>
        <v/>
      </c>
    </row>
    <row r="21" spans="1:10" ht="20.25" customHeight="1">
      <c r="A21" s="3"/>
      <c r="G21" s="10" t="str">
        <f>IFERROR(baoliuxiaoshuwei((E21-F21)/(E21+F21)*100,0),"")</f>
        <v/>
      </c>
      <c r="H21" s="124" t="str">
        <f t="shared" si="0"/>
        <v/>
      </c>
      <c r="I21" s="10"/>
      <c r="J21" s="10" t="str">
        <f>IFERROR(IF(I21="ND","ND",XiuYue((((I21-基础页!$B$24)*基础页!$B$15/C21)),3,-1,9999)),"")</f>
        <v/>
      </c>
    </row>
    <row r="22" spans="1:10" ht="20.25" customHeight="1">
      <c r="A22" s="3"/>
      <c r="G22" s="10" t="str">
        <f>IFERROR(baoliuxiaoshuwei((E22-F22)/(E22+F22)*100,0),"")</f>
        <v/>
      </c>
      <c r="H22" s="124" t="str">
        <f t="shared" si="0"/>
        <v/>
      </c>
      <c r="I22" s="10"/>
      <c r="J22" s="10" t="str">
        <f>IFERROR(IF(I22="ND","ND",XiuYue((((I22-基础页!$B$24)*基础页!$B$15/C22)),3,-1,9999)),"")</f>
        <v/>
      </c>
    </row>
    <row r="23" spans="1:10" ht="20.25" customHeight="1">
      <c r="A23" s="3"/>
      <c r="G23" s="10" t="str">
        <f>IFERROR(baoliuxiaoshuwei((E23-F23)/(E23+F23)*100,0),"")</f>
        <v/>
      </c>
      <c r="H23" s="124" t="str">
        <f t="shared" si="0"/>
        <v/>
      </c>
      <c r="I23" s="10"/>
      <c r="J23" s="10" t="str">
        <f>IFERROR(IF(I23="ND","ND",XiuYue((((I23-基础页!$B$24)*基础页!$B$15/C23)),3,-1,9999)),"")</f>
        <v/>
      </c>
    </row>
    <row r="24" spans="1:10" ht="20.25" customHeight="1">
      <c r="A24" s="3"/>
      <c r="G24" s="10" t="str">
        <f>IFERROR(baoliuxiaoshuwei((E24-F24)/(E24+F24)*100,0),"")</f>
        <v/>
      </c>
      <c r="H24" s="124" t="str">
        <f t="shared" si="0"/>
        <v/>
      </c>
      <c r="I24" s="10"/>
      <c r="J24" s="10" t="str">
        <f>IFERROR(IF(I24="ND","ND",XiuYue((((I24-基础页!$B$24)*基础页!$B$15/C24)),3,-1,9999)),"")</f>
        <v/>
      </c>
    </row>
    <row r="25" spans="1:10" ht="20.25" customHeight="1">
      <c r="A25" s="3"/>
      <c r="G25" s="10" t="str">
        <f>IFERROR(baoliuxiaoshuwei((E25-F25)/(E25+F25)*100,0),"")</f>
        <v/>
      </c>
      <c r="H25" s="124" t="str">
        <f t="shared" si="0"/>
        <v/>
      </c>
      <c r="I25" s="10"/>
      <c r="J25" s="10" t="str">
        <f>IFERROR(IF(I25="ND","ND",XiuYue((((I25-基础页!$B$24)*基础页!$B$15/C25)),3,-1,9999)),"")</f>
        <v/>
      </c>
    </row>
    <row r="26" spans="1:10" ht="20.25" customHeight="1">
      <c r="A26" s="3"/>
      <c r="G26" s="10" t="str">
        <f>IFERROR(baoliuxiaoshuwei((E26-F26)/(E26+F26)*100,0),"")</f>
        <v/>
      </c>
      <c r="H26" s="124" t="str">
        <f t="shared" si="0"/>
        <v/>
      </c>
      <c r="I26" s="10"/>
      <c r="J26" s="10" t="str">
        <f>IFERROR(IF(I26="ND","ND",XiuYue((((I26-基础页!$B$24)*基础页!$B$15/C26)),3,-1,9999)),"")</f>
        <v/>
      </c>
    </row>
    <row r="27" spans="1:10" ht="20.25" customHeight="1">
      <c r="A27" s="3"/>
      <c r="G27" s="10" t="str">
        <f>IFERROR(baoliuxiaoshuwei((E27-F27)/(E27+F27)*100,0),"")</f>
        <v/>
      </c>
      <c r="H27" s="124" t="str">
        <f t="shared" si="0"/>
        <v/>
      </c>
      <c r="I27" s="10"/>
      <c r="J27" s="10" t="str">
        <f>IFERROR(IF(I27="ND","ND",XiuYue((((I27-基础页!$B$24)*基础页!$B$15/C27)),3,-1,9999)),"")</f>
        <v/>
      </c>
    </row>
    <row r="28" spans="1:10" ht="20.25" customHeight="1">
      <c r="A28" s="3"/>
      <c r="G28" s="10" t="str">
        <f>IFERROR(baoliuxiaoshuwei((E28-F28)/(E28+F28)*100,0),"")</f>
        <v/>
      </c>
      <c r="H28" s="124" t="str">
        <f t="shared" si="0"/>
        <v/>
      </c>
      <c r="I28" s="10"/>
      <c r="J28" s="10" t="str">
        <f>IFERROR(IF(I28="ND","ND",XiuYue((((I28-基础页!$B$24)*基础页!$B$15/C28)),3,-1,9999)),"")</f>
        <v/>
      </c>
    </row>
    <row r="29" spans="1:10" ht="20.25" customHeight="1">
      <c r="A29" s="3"/>
      <c r="G29" s="10" t="str">
        <f>IFERROR(baoliuxiaoshuwei((E29-F29)/(E29+F29)*100,0),"")</f>
        <v/>
      </c>
      <c r="H29" s="124" t="str">
        <f t="shared" si="0"/>
        <v/>
      </c>
      <c r="I29" s="10"/>
      <c r="J29" s="10" t="str">
        <f>IFERROR(IF(I29="ND","ND",XiuYue((((I29-基础页!$B$24)*基础页!$B$15/C29)),3,-1,9999)),"")</f>
        <v/>
      </c>
    </row>
    <row r="30" spans="1:10" ht="20.25" customHeight="1">
      <c r="A30" s="3"/>
      <c r="G30" s="10" t="str">
        <f>IFERROR(baoliuxiaoshuwei((E30-F30)/(E30+F30)*100,0),"")</f>
        <v/>
      </c>
      <c r="H30" s="124" t="str">
        <f t="shared" si="0"/>
        <v/>
      </c>
      <c r="I30" s="10"/>
      <c r="J30" s="10" t="str">
        <f>IFERROR(IF(I30="ND","ND",XiuYue((((I30-基础页!$B$24)*基础页!$B$15/C30)),3,-1,9999)),"")</f>
        <v/>
      </c>
    </row>
    <row r="31" spans="1:10" ht="20.25" customHeight="1">
      <c r="A31" s="3"/>
      <c r="G31" s="10" t="str">
        <f>IFERROR(baoliuxiaoshuwei((E31-F31)/(E31+F31)*100,0),"")</f>
        <v/>
      </c>
      <c r="H31" s="124" t="str">
        <f t="shared" si="0"/>
        <v/>
      </c>
      <c r="I31" s="10"/>
      <c r="J31" s="10" t="str">
        <f>IFERROR(IF(I31="ND","ND",XiuYue((((I31-基础页!$B$24)*基础页!$B$15/C31)),3,-1,9999)),"")</f>
        <v/>
      </c>
    </row>
    <row r="32" spans="1:10" ht="20.25" customHeight="1">
      <c r="A32" s="3"/>
      <c r="G32" s="10" t="str">
        <f>IFERROR(baoliuxiaoshuwei((E32-F32)/(E32+F32)*100,0),"")</f>
        <v/>
      </c>
      <c r="H32" s="124" t="str">
        <f t="shared" si="0"/>
        <v/>
      </c>
      <c r="I32" s="10"/>
      <c r="J32" s="10" t="str">
        <f>IFERROR(IF(I32="ND","ND",XiuYue((((I32-基础页!$B$24)*基础页!$B$15/C32)),3,-1,9999)),"")</f>
        <v/>
      </c>
    </row>
    <row r="33" spans="1:10" ht="20.25" customHeight="1">
      <c r="A33" s="3"/>
      <c r="G33" s="10" t="str">
        <f>IFERROR(baoliuxiaoshuwei((E33-F33)/(E33+F33)*100,0),"")</f>
        <v/>
      </c>
      <c r="H33" s="124" t="str">
        <f t="shared" si="0"/>
        <v/>
      </c>
      <c r="I33" s="10"/>
      <c r="J33" s="10" t="str">
        <f>IFERROR(IF(I33="ND","ND",XiuYue((((I33-基础页!$B$24)*基础页!$B$15/C33)),3,-1,9999)),"")</f>
        <v/>
      </c>
    </row>
    <row r="34" spans="1:10" ht="20.25" customHeight="1">
      <c r="A34" s="3"/>
      <c r="G34" s="10" t="str">
        <f>IFERROR(baoliuxiaoshuwei((E34-F34)/(E34+F34)*100,0),"")</f>
        <v/>
      </c>
      <c r="H34" s="124" t="str">
        <f t="shared" si="0"/>
        <v/>
      </c>
      <c r="I34" s="10"/>
      <c r="J34" s="10" t="str">
        <f>IFERROR(IF(I34="ND","ND",XiuYue((((I34-基础页!$B$24)*基础页!$B$15/C34)),3,-1,9999)),"")</f>
        <v/>
      </c>
    </row>
    <row r="35" spans="1:10" ht="20.25" customHeight="1">
      <c r="A35" s="3"/>
      <c r="G35" s="10" t="str">
        <f>IFERROR(baoliuxiaoshuwei((E35-F35)/(E35+F35)*100,0),"")</f>
        <v/>
      </c>
      <c r="H35" s="124" t="str">
        <f t="shared" si="0"/>
        <v/>
      </c>
      <c r="I35" s="10"/>
      <c r="J35" s="10" t="str">
        <f>IFERROR(IF(I35="ND","ND",XiuYue((((I35-基础页!$B$24)*基础页!$B$15/C35)),3,-1,9999)),"")</f>
        <v/>
      </c>
    </row>
    <row r="36" spans="1:10" ht="20.25" customHeight="1">
      <c r="A36" s="3"/>
      <c r="G36" s="10" t="str">
        <f>IFERROR(baoliuxiaoshuwei((E36-F36)/(E36+F36)*100,0),"")</f>
        <v/>
      </c>
      <c r="H36" s="124" t="str">
        <f t="shared" si="0"/>
        <v/>
      </c>
      <c r="I36" s="10"/>
      <c r="J36" s="10" t="str">
        <f>IFERROR(IF(I36="ND","ND",XiuYue((((I36-基础页!$B$24)*基础页!$B$15/C36)),3,-1,9999)),"")</f>
        <v/>
      </c>
    </row>
    <row r="37" spans="1:10" ht="20.25" customHeight="1">
      <c r="A37" s="3"/>
      <c r="G37" s="10" t="str">
        <f>IFERROR(baoliuxiaoshuwei((E37-F37)/(E37+F37)*100,0),"")</f>
        <v/>
      </c>
      <c r="H37" s="124" t="str">
        <f t="shared" si="0"/>
        <v/>
      </c>
      <c r="I37" s="10"/>
      <c r="J37" s="10" t="str">
        <f>IFERROR(IF(I37="ND","ND",XiuYue((((I37-基础页!$B$24)*基础页!$B$15/C37)),3,-1,9999)),"")</f>
        <v/>
      </c>
    </row>
    <row r="38" spans="1:10" ht="20.25" customHeight="1">
      <c r="A38" s="3"/>
      <c r="G38" s="10" t="str">
        <f>IFERROR(baoliuxiaoshuwei((E38-F38)/(E38+F38)*100,0),"")</f>
        <v/>
      </c>
      <c r="H38" s="124" t="str">
        <f t="shared" si="0"/>
        <v/>
      </c>
      <c r="I38" s="10"/>
      <c r="J38" s="10" t="str">
        <f>IFERROR(IF(I38="ND","ND",XiuYue((((I38-基础页!$B$24)*基础页!$B$15/C38)),3,-1,9999)),"")</f>
        <v/>
      </c>
    </row>
    <row r="39" spans="1:10" ht="20.25" customHeight="1">
      <c r="A39" s="3"/>
      <c r="G39" s="10" t="str">
        <f>IFERROR(baoliuxiaoshuwei((E39-F39)/(E39+F39)*100,0),"")</f>
        <v/>
      </c>
      <c r="H39" s="124" t="str">
        <f t="shared" si="0"/>
        <v/>
      </c>
      <c r="I39" s="10"/>
      <c r="J39" s="10" t="str">
        <f>IFERROR(IF(I39="ND","ND",XiuYue((((I39-基础页!$B$24)*基础页!$B$15/C39)),3,-1,9999)),"")</f>
        <v/>
      </c>
    </row>
    <row r="40" spans="1:10" ht="20.25" customHeight="1">
      <c r="A40" s="3"/>
      <c r="G40" s="10" t="str">
        <f>IFERROR(baoliuxiaoshuwei((E40-F40)/(E40+F40)*100,0),"")</f>
        <v/>
      </c>
      <c r="H40" s="124" t="str">
        <f t="shared" si="0"/>
        <v/>
      </c>
      <c r="I40" s="10"/>
      <c r="J40" s="10" t="str">
        <f>IFERROR(IF(I40="ND","ND",XiuYue((((I40-基础页!$B$24)*基础页!$B$15/C40)),3,-1,9999)),"")</f>
        <v/>
      </c>
    </row>
    <row r="41" spans="1:10" ht="20.25" customHeight="1">
      <c r="A41" s="3"/>
      <c r="G41" s="10" t="str">
        <f>IFERROR(baoliuxiaoshuwei((E41-F41)/(E41+F41)*100,0),"")</f>
        <v/>
      </c>
      <c r="H41" s="124" t="str">
        <f t="shared" si="0"/>
        <v/>
      </c>
      <c r="I41" s="10"/>
      <c r="J41" s="10" t="str">
        <f>IFERROR(IF(I41="ND","ND",XiuYue((((I41-基础页!$B$24)*基础页!$B$15/C41)),3,-1,9999)),"")</f>
        <v/>
      </c>
    </row>
    <row r="42" spans="1:10" ht="20.25" customHeight="1">
      <c r="A42" s="3"/>
      <c r="G42" s="10" t="str">
        <f>IFERROR(baoliuxiaoshuwei((E42-F42)/(E42+F42)*100,0),"")</f>
        <v/>
      </c>
      <c r="H42" s="124" t="str">
        <f t="shared" si="0"/>
        <v/>
      </c>
      <c r="I42" s="10"/>
      <c r="J42" s="10" t="str">
        <f>IFERROR(IF(I42="ND","ND",XiuYue((((I42-基础页!$B$24)*基础页!$B$15/C42)),3,-1,9999)),"")</f>
        <v/>
      </c>
    </row>
    <row r="43" spans="1:10" ht="20.25" customHeight="1">
      <c r="A43" s="3"/>
      <c r="G43" s="10" t="str">
        <f>IFERROR(baoliuxiaoshuwei((E43-F43)/(E43+F43)*100,0),"")</f>
        <v/>
      </c>
      <c r="H43" s="124" t="str">
        <f t="shared" si="0"/>
        <v/>
      </c>
      <c r="I43" s="10"/>
      <c r="J43" s="10" t="str">
        <f>IFERROR(IF(I43="ND","ND",XiuYue((((I43-基础页!$B$24)*基础页!$B$15/C43)),3,-1,9999)),"")</f>
        <v/>
      </c>
    </row>
    <row r="44" spans="1:10" ht="20.25" customHeight="1">
      <c r="A44" s="3"/>
      <c r="G44" s="10" t="str">
        <f>IFERROR(baoliuxiaoshuwei((E44-F44)/(E44+F44)*100,0),"")</f>
        <v/>
      </c>
      <c r="H44" s="124" t="str">
        <f t="shared" si="0"/>
        <v/>
      </c>
      <c r="I44" s="10"/>
      <c r="J44" s="10" t="str">
        <f>IFERROR(IF(I44="ND","ND",XiuYue((((I44-基础页!$B$24)*基础页!$B$15/C44)),3,-1,9999)),"")</f>
        <v/>
      </c>
    </row>
    <row r="45" spans="1:10" ht="20.25" customHeight="1">
      <c r="A45" s="3"/>
      <c r="G45" s="10" t="str">
        <f>IFERROR(baoliuxiaoshuwei((E45-F45)/(E45+F45)*100,0),"")</f>
        <v/>
      </c>
      <c r="H45" s="124" t="str">
        <f t="shared" si="0"/>
        <v/>
      </c>
      <c r="I45" s="10"/>
      <c r="J45" s="10" t="str">
        <f>IFERROR(IF(I45="ND","ND",XiuYue((((I45-基础页!$B$24)*基础页!$B$15/C45)),3,-1,9999)),"")</f>
        <v/>
      </c>
    </row>
    <row r="46" spans="1:10" ht="20.25" customHeight="1">
      <c r="A46" s="3"/>
      <c r="G46" s="10" t="str">
        <f>IFERROR(baoliuxiaoshuwei((E46-F46)/(E46+F46)*100,0),"")</f>
        <v/>
      </c>
      <c r="H46" s="124" t="str">
        <f t="shared" si="0"/>
        <v/>
      </c>
      <c r="I46" s="10"/>
      <c r="J46" s="10" t="str">
        <f>IFERROR(IF(I46="ND","ND",XiuYue((((I46-基础页!$B$24)*基础页!$B$15/C46)),3,-1,9999)),"")</f>
        <v/>
      </c>
    </row>
    <row r="47" spans="1:10" ht="20.25" customHeight="1">
      <c r="A47" s="3"/>
      <c r="G47" s="10" t="str">
        <f>IFERROR(baoliuxiaoshuwei((E47-F47)/(E47+F47)*100,0),"")</f>
        <v/>
      </c>
      <c r="H47" s="124" t="str">
        <f t="shared" si="0"/>
        <v/>
      </c>
      <c r="I47" s="10"/>
      <c r="J47" s="10" t="str">
        <f>IFERROR(IF(I47="ND","ND",XiuYue((((I47-基础页!$B$24)*基础页!$B$15/C47)),3,-1,9999)),"")</f>
        <v/>
      </c>
    </row>
    <row r="48" spans="1:10" ht="20.25" customHeight="1">
      <c r="A48" s="3"/>
      <c r="G48" s="10" t="str">
        <f>IFERROR(baoliuxiaoshuwei((E48-F48)/(E48+F48)*100,0),"")</f>
        <v/>
      </c>
      <c r="H48" s="124" t="str">
        <f t="shared" si="0"/>
        <v/>
      </c>
      <c r="I48" s="10"/>
      <c r="J48" s="10" t="str">
        <f>IFERROR(IF(I48="ND","ND",XiuYue((((I48-基础页!$B$24)*基础页!$B$15/C48)),3,-1,9999)),"")</f>
        <v/>
      </c>
    </row>
    <row r="49" spans="1:10" ht="20.25" customHeight="1">
      <c r="A49" s="3"/>
      <c r="G49" s="10" t="str">
        <f>IFERROR(baoliuxiaoshuwei((E49-F49)/(E49+F49)*100,0),"")</f>
        <v/>
      </c>
      <c r="H49" s="124" t="str">
        <f t="shared" si="0"/>
        <v/>
      </c>
      <c r="I49" s="10"/>
      <c r="J49" s="10" t="str">
        <f>IFERROR(IF(I49="ND","ND",XiuYue((((I49-基础页!$B$24)*基础页!$B$15/C49)),3,-1,9999)),"")</f>
        <v/>
      </c>
    </row>
    <row r="50" spans="1:10" ht="20.25" customHeight="1">
      <c r="A50" s="3"/>
      <c r="G50" s="10" t="str">
        <f>IFERROR(baoliuxiaoshuwei((E50-F50)/(E50+F50)*100,0),"")</f>
        <v/>
      </c>
      <c r="H50" s="124" t="str">
        <f t="shared" si="0"/>
        <v/>
      </c>
      <c r="I50" s="10"/>
      <c r="J50" s="10" t="str">
        <f>IFERROR(IF(I50="ND","ND",XiuYue((((I50-基础页!$B$24)*基础页!$B$15/C50)),3,-1,9999)),"")</f>
        <v/>
      </c>
    </row>
    <row r="51" spans="1:10" ht="20.25" customHeight="1">
      <c r="A51" s="3"/>
      <c r="G51" s="10" t="str">
        <f>IFERROR(baoliuxiaoshuwei((E51-F51)/(E51+F51)*100,0),"")</f>
        <v/>
      </c>
      <c r="H51" s="124" t="str">
        <f t="shared" si="0"/>
        <v/>
      </c>
      <c r="I51" s="10"/>
      <c r="J51" s="10" t="str">
        <f>IFERROR(IF(I51="ND","ND",XiuYue((((I51-基础页!$B$24)*基础页!$B$15/C51)),3,-1,9999)),"")</f>
        <v/>
      </c>
    </row>
    <row r="52" spans="1:10" ht="20.25" customHeight="1">
      <c r="A52" s="3"/>
      <c r="G52" s="10" t="str">
        <f>IFERROR(baoliuxiaoshuwei((E52-F52)/(E52+F52)*100,0),"")</f>
        <v/>
      </c>
      <c r="H52" s="124" t="str">
        <f t="shared" si="0"/>
        <v/>
      </c>
      <c r="I52" s="10"/>
      <c r="J52" s="10" t="str">
        <f>IFERROR(IF(I52="ND","ND",XiuYue((((I52-基础页!$B$24)*基础页!$B$15/C52)),3,-1,9999)),"")</f>
        <v/>
      </c>
    </row>
    <row r="53" spans="1:10" ht="20.25" customHeight="1">
      <c r="A53" s="3"/>
      <c r="G53" s="10" t="str">
        <f>IFERROR(baoliuxiaoshuwei((E53-F53)/(E53+F53)*100,0),"")</f>
        <v/>
      </c>
      <c r="H53" s="124" t="str">
        <f t="shared" si="0"/>
        <v/>
      </c>
      <c r="I53" s="10"/>
      <c r="J53" s="10" t="str">
        <f>IFERROR(IF(I53="ND","ND",XiuYue((((I53-基础页!$B$24)*基础页!$B$15/C53)),3,-1,9999)),"")</f>
        <v/>
      </c>
    </row>
    <row r="54" spans="1:10" ht="20.25" customHeight="1">
      <c r="A54" s="3"/>
      <c r="G54" s="10" t="str">
        <f>IFERROR(baoliuxiaoshuwei((E54-F54)/(E54+F54)*100,0),"")</f>
        <v/>
      </c>
      <c r="H54" s="124" t="str">
        <f t="shared" si="0"/>
        <v/>
      </c>
      <c r="I54" s="10"/>
      <c r="J54" s="10" t="str">
        <f>IFERROR(IF(I54="ND","ND",XiuYue((((I54-基础页!$B$24)*基础页!$B$15/C54)),3,-1,9999)),"")</f>
        <v/>
      </c>
    </row>
    <row r="55" spans="1:10" ht="20.25" customHeight="1">
      <c r="A55" s="3"/>
      <c r="G55" s="10" t="str">
        <f>IFERROR(baoliuxiaoshuwei((E55-F55)/(E55+F55)*100,0),"")</f>
        <v/>
      </c>
      <c r="H55" s="124" t="str">
        <f t="shared" si="0"/>
        <v/>
      </c>
      <c r="I55" s="10"/>
      <c r="J55" s="10" t="str">
        <f>IFERROR(IF(I55="ND","ND",XiuYue((((I55-基础页!$B$24)*基础页!$B$15/C55)),3,-1,9999)),"")</f>
        <v/>
      </c>
    </row>
    <row r="56" spans="1:10" ht="20.25" customHeight="1">
      <c r="A56" s="3"/>
      <c r="G56" s="10" t="str">
        <f>IFERROR(baoliuxiaoshuwei((E56-F56)/(E56+F56)*100,0),"")</f>
        <v/>
      </c>
      <c r="H56" s="124" t="str">
        <f t="shared" si="0"/>
        <v/>
      </c>
      <c r="I56" s="10"/>
      <c r="J56" s="10" t="str">
        <f>IFERROR(IF(I56="ND","ND",XiuYue((((I56-基础页!$B$24)*基础页!$B$15/C56)),3,-1,9999)),"")</f>
        <v/>
      </c>
    </row>
    <row r="57" spans="1:10" ht="20.25" customHeight="1">
      <c r="A57" s="3"/>
      <c r="G57" s="10" t="str">
        <f>IFERROR(baoliuxiaoshuwei((E57-F57)/(E57+F57)*100,0),"")</f>
        <v/>
      </c>
      <c r="H57" s="124" t="str">
        <f t="shared" si="0"/>
        <v/>
      </c>
      <c r="I57" s="10"/>
      <c r="J57" s="10" t="str">
        <f>IFERROR(IF(I57="ND","ND",XiuYue((((I57-基础页!$B$24)*基础页!$B$15/C57)),3,-1,9999)),"")</f>
        <v/>
      </c>
    </row>
    <row r="58" spans="1:10" ht="20.25" customHeight="1">
      <c r="A58" s="3"/>
      <c r="G58" s="10" t="str">
        <f>IFERROR(baoliuxiaoshuwei((E58-F58)/(E58+F58)*100,0),"")</f>
        <v/>
      </c>
      <c r="H58" s="124" t="str">
        <f t="shared" si="0"/>
        <v/>
      </c>
      <c r="I58" s="10"/>
      <c r="J58" s="10" t="str">
        <f>IFERROR(IF(I58="ND","ND",XiuYue((((I58-基础页!$B$24)*基础页!$B$15/C58)),3,-1,9999)),"")</f>
        <v/>
      </c>
    </row>
    <row r="59" spans="1:10" ht="20.25" customHeight="1">
      <c r="A59" s="3"/>
      <c r="G59" s="10" t="str">
        <f>IFERROR(baoliuxiaoshuwei((E59-F59)/(E59+F59)*100,0),"")</f>
        <v/>
      </c>
      <c r="H59" s="124" t="str">
        <f t="shared" si="0"/>
        <v/>
      </c>
      <c r="I59" s="10"/>
      <c r="J59" s="10" t="str">
        <f>IFERROR(IF(I59="ND","ND",XiuYue((((I59-基础页!$B$24)*基础页!$B$15/C59)),3,-1,9999)),"")</f>
        <v/>
      </c>
    </row>
    <row r="60" spans="1:10" ht="20.25" customHeight="1">
      <c r="A60" s="3"/>
      <c r="G60" s="10" t="str">
        <f>IFERROR(baoliuxiaoshuwei((E60-F60)/(E60+F60)*100,0),"")</f>
        <v/>
      </c>
      <c r="H60" s="124" t="str">
        <f t="shared" si="0"/>
        <v/>
      </c>
      <c r="I60" s="10"/>
      <c r="J60" s="10" t="str">
        <f>IFERROR(IF(I60="ND","ND",XiuYue((((I60-基础页!$B$24)*基础页!$B$15/C60)),3,-1,9999)),"")</f>
        <v/>
      </c>
    </row>
    <row r="61" spans="1:10" ht="20.25" customHeight="1">
      <c r="A61" s="3"/>
      <c r="G61" s="10" t="str">
        <f>IFERROR(baoliuxiaoshuwei((E61-F61)/(E61+F61)*100,0),"")</f>
        <v/>
      </c>
      <c r="H61" s="124" t="str">
        <f t="shared" si="0"/>
        <v/>
      </c>
      <c r="I61" s="10"/>
      <c r="J61" s="10" t="str">
        <f>IFERROR(IF(I61="ND","ND",XiuYue((((I61-基础页!$B$24)*基础页!$B$15/C61)),3,-1,9999)),"")</f>
        <v/>
      </c>
    </row>
    <row r="62" spans="1:10" ht="20.25" customHeight="1">
      <c r="A62" s="3"/>
      <c r="G62" s="10" t="str">
        <f>IFERROR(baoliuxiaoshuwei((E62-F62)/(E62+F62)*100,0),"")</f>
        <v/>
      </c>
      <c r="H62" s="124" t="str">
        <f t="shared" si="0"/>
        <v/>
      </c>
      <c r="I62" s="10"/>
      <c r="J62" s="10" t="str">
        <f>IFERROR(IF(I62="ND","ND",XiuYue((((I62-基础页!$B$24)*基础页!$B$15/C62)),3,-1,9999)),"")</f>
        <v/>
      </c>
    </row>
    <row r="63" spans="1:10" ht="20.25" customHeight="1">
      <c r="A63" s="3"/>
      <c r="G63" s="10" t="str">
        <f>IFERROR(baoliuxiaoshuwei((E63-F63)/(E63+F63)*100,0),"")</f>
        <v/>
      </c>
      <c r="H63" s="124" t="str">
        <f t="shared" si="0"/>
        <v/>
      </c>
      <c r="I63" s="10"/>
      <c r="J63" s="10" t="str">
        <f>IFERROR(IF(I63="ND","ND",XiuYue((((I63-基础页!$B$24)*基础页!$B$15/C63)),3,-1,9999)),"")</f>
        <v/>
      </c>
    </row>
    <row r="64" spans="1:10" ht="20.25" customHeight="1">
      <c r="A64" s="3"/>
      <c r="G64" s="10" t="str">
        <f>IFERROR(baoliuxiaoshuwei((E64-F64)/(E64+F64)*100,0),"")</f>
        <v/>
      </c>
      <c r="H64" s="124" t="str">
        <f t="shared" si="0"/>
        <v/>
      </c>
      <c r="I64" s="10"/>
      <c r="J64" s="10" t="str">
        <f>IFERROR(IF(I64="ND","ND",XiuYue((((I64-基础页!$B$24)*基础页!$B$15/C64)),3,-1,9999)),"")</f>
        <v/>
      </c>
    </row>
    <row r="65" spans="1:10" ht="20.25" customHeight="1">
      <c r="A65" s="3"/>
      <c r="G65" s="10" t="str">
        <f>IFERROR(baoliuxiaoshuwei((E65-F65)/(E65+F65)*100,0),"")</f>
        <v/>
      </c>
      <c r="H65" s="124" t="str">
        <f t="shared" si="0"/>
        <v/>
      </c>
      <c r="I65" s="10"/>
      <c r="J65" s="10" t="str">
        <f>IFERROR(IF(I65="ND","ND",XiuYue((((I65-基础页!$B$24)*基础页!$B$15/C65)),3,-1,9999)),"")</f>
        <v/>
      </c>
    </row>
    <row r="66" spans="1:10" ht="20.25" customHeight="1">
      <c r="A66" s="3"/>
      <c r="G66" s="10" t="str">
        <f>IFERROR(baoliuxiaoshuwei((E66-F66)/(E66+F66)*100,0),"")</f>
        <v/>
      </c>
      <c r="H66" s="124" t="str">
        <f t="shared" si="0"/>
        <v/>
      </c>
      <c r="I66" s="10"/>
      <c r="J66" s="10" t="str">
        <f>IFERROR(IF(I66="ND","ND",XiuYue((((I66-基础页!$B$24)*基础页!$B$15/C66)),3,-1,9999)),"")</f>
        <v/>
      </c>
    </row>
    <row r="67" spans="1:10" ht="20.25" customHeight="1">
      <c r="A67" s="3"/>
      <c r="G67" s="10" t="str">
        <f>IFERROR(baoliuxiaoshuwei((E67-F67)/(E67+F67)*100,0),"")</f>
        <v/>
      </c>
      <c r="H67" s="124" t="str">
        <f t="shared" si="0"/>
        <v/>
      </c>
      <c r="I67" s="10"/>
      <c r="J67" s="10" t="str">
        <f>IFERROR(IF(I67="ND","ND",XiuYue((((I67-基础页!$B$24)*基础页!$B$15/C67)),3,-1,9999)),"")</f>
        <v/>
      </c>
    </row>
    <row r="68" spans="1:10" ht="20.25" customHeight="1">
      <c r="A68" s="3"/>
      <c r="G68" s="10" t="str">
        <f>IFERROR(baoliuxiaoshuwei((E68-F68)/(E68+F68)*100,0),"")</f>
        <v/>
      </c>
      <c r="H68" s="124" t="str">
        <f t="shared" si="0"/>
        <v/>
      </c>
      <c r="I68" s="10"/>
      <c r="J68" s="10" t="str">
        <f>IFERROR(IF(I68="ND","ND",XiuYue((((I68-基础页!$B$24)*基础页!$B$15/C68)),3,-1,9999)),"")</f>
        <v/>
      </c>
    </row>
    <row r="69" spans="1:10" ht="20.25" customHeight="1">
      <c r="A69" s="3"/>
      <c r="G69" s="10" t="str">
        <f>IFERROR(baoliuxiaoshuwei((E69-F69)/(E69+F69)*100,0),"")</f>
        <v/>
      </c>
      <c r="H69" s="124" t="str">
        <f t="shared" si="0"/>
        <v/>
      </c>
      <c r="I69" s="10"/>
      <c r="J69" s="10" t="str">
        <f>IFERROR(IF(I69="ND","ND",XiuYue((((I69-基础页!$B$24)*基础页!$B$15/C69)),3,-1,9999)),"")</f>
        <v/>
      </c>
    </row>
    <row r="70" spans="1:10" ht="20.25" customHeight="1">
      <c r="A70" s="3"/>
      <c r="G70" s="10" t="str">
        <f>IFERROR(baoliuxiaoshuwei((E70-F70)/(E70+F70)*100,0),"")</f>
        <v/>
      </c>
      <c r="H70" s="124" t="str">
        <f t="shared" ref="H70:H133" si="1">IFERROR(IF(ISBLANK(I70),"",IF(J70="ND","否","是")),"")</f>
        <v/>
      </c>
      <c r="I70" s="10"/>
      <c r="J70" s="10" t="str">
        <f>IFERROR(IF(I70="ND","ND",XiuYue((((I70-基础页!$B$24)*基础页!$B$15/C70)),3,-1,9999)),"")</f>
        <v/>
      </c>
    </row>
    <row r="71" spans="1:10" ht="20.25" customHeight="1">
      <c r="A71" s="3"/>
      <c r="G71" s="10" t="str">
        <f>IFERROR(baoliuxiaoshuwei((E71-F71)/(E71+F71)*100,0),"")</f>
        <v/>
      </c>
      <c r="H71" s="124" t="str">
        <f t="shared" si="1"/>
        <v/>
      </c>
      <c r="I71" s="10"/>
      <c r="J71" s="10" t="str">
        <f>IFERROR(IF(I71="ND","ND",XiuYue((((I71-基础页!$B$24)*基础页!$B$15/C71)),3,-1,9999)),"")</f>
        <v/>
      </c>
    </row>
    <row r="72" spans="1:10" ht="20.25" customHeight="1">
      <c r="A72" s="3"/>
      <c r="G72" s="10" t="str">
        <f>IFERROR(baoliuxiaoshuwei((E72-F72)/(E72+F72)*100,0),"")</f>
        <v/>
      </c>
      <c r="H72" s="124" t="str">
        <f t="shared" si="1"/>
        <v/>
      </c>
      <c r="I72" s="10"/>
      <c r="J72" s="10" t="str">
        <f>IFERROR(IF(I72="ND","ND",XiuYue((((I72-基础页!$B$24)*基础页!$B$15/C72)),3,-1,9999)),"")</f>
        <v/>
      </c>
    </row>
    <row r="73" spans="1:10" ht="20.25" customHeight="1">
      <c r="A73" s="3"/>
      <c r="G73" s="10" t="str">
        <f>IFERROR(baoliuxiaoshuwei((E73-F73)/(E73+F73)*100,0),"")</f>
        <v/>
      </c>
      <c r="H73" s="124" t="str">
        <f t="shared" si="1"/>
        <v/>
      </c>
      <c r="I73" s="10"/>
      <c r="J73" s="10" t="str">
        <f>IFERROR(IF(I73="ND","ND",XiuYue((((I73-基础页!$B$24)*基础页!$B$15/C73)),3,-1,9999)),"")</f>
        <v/>
      </c>
    </row>
    <row r="74" spans="1:10" ht="20.25" customHeight="1">
      <c r="A74" s="3"/>
      <c r="G74" s="10" t="str">
        <f>IFERROR(baoliuxiaoshuwei((E74-F74)/(E74+F74)*100,0),"")</f>
        <v/>
      </c>
      <c r="H74" s="124" t="str">
        <f t="shared" si="1"/>
        <v/>
      </c>
      <c r="I74" s="10"/>
      <c r="J74" s="10" t="str">
        <f>IFERROR(IF(I74="ND","ND",XiuYue((((I74-基础页!$B$24)*基础页!$B$15/C74)),3,-1,9999)),"")</f>
        <v/>
      </c>
    </row>
    <row r="75" spans="1:10" ht="20.25" customHeight="1">
      <c r="A75" s="3"/>
      <c r="G75" s="10" t="str">
        <f>IFERROR(baoliuxiaoshuwei((E75-F75)/(E75+F75)*100,0),"")</f>
        <v/>
      </c>
      <c r="H75" s="124" t="str">
        <f t="shared" si="1"/>
        <v/>
      </c>
      <c r="I75" s="10"/>
      <c r="J75" s="10" t="str">
        <f>IFERROR(IF(I75="ND","ND",XiuYue((((I75-基础页!$B$24)*基础页!$B$15/C75)),3,-1,9999)),"")</f>
        <v/>
      </c>
    </row>
    <row r="76" spans="1:10" ht="20.25" customHeight="1">
      <c r="A76" s="3"/>
      <c r="G76" s="10" t="str">
        <f>IFERROR(baoliuxiaoshuwei((E76-F76)/(E76+F76)*100,0),"")</f>
        <v/>
      </c>
      <c r="H76" s="124" t="str">
        <f t="shared" si="1"/>
        <v/>
      </c>
      <c r="I76" s="10"/>
      <c r="J76" s="10" t="str">
        <f>IFERROR(IF(I76="ND","ND",XiuYue((((I76-基础页!$B$24)*基础页!$B$15/C76)),3,-1,9999)),"")</f>
        <v/>
      </c>
    </row>
    <row r="77" spans="1:10" ht="20.25" customHeight="1">
      <c r="A77" s="3"/>
      <c r="G77" s="10" t="str">
        <f>IFERROR(baoliuxiaoshuwei((E77-F77)/(E77+F77)*100,0),"")</f>
        <v/>
      </c>
      <c r="H77" s="124" t="str">
        <f t="shared" si="1"/>
        <v/>
      </c>
      <c r="I77" s="10"/>
      <c r="J77" s="10" t="str">
        <f>IFERROR(IF(I77="ND","ND",XiuYue((((I77-基础页!$B$24)*基础页!$B$15/C77)),3,-1,9999)),"")</f>
        <v/>
      </c>
    </row>
    <row r="78" spans="1:10" ht="20.25" customHeight="1">
      <c r="A78" s="3"/>
      <c r="G78" s="10" t="str">
        <f>IFERROR(baoliuxiaoshuwei((E78-F78)/(E78+F78)*100,0),"")</f>
        <v/>
      </c>
      <c r="H78" s="124" t="str">
        <f t="shared" si="1"/>
        <v/>
      </c>
      <c r="I78" s="10"/>
      <c r="J78" s="10" t="str">
        <f>IFERROR(IF(I78="ND","ND",XiuYue((((I78-基础页!$B$24)*基础页!$B$15/C78)),3,-1,9999)),"")</f>
        <v/>
      </c>
    </row>
    <row r="79" spans="1:10" ht="20.25" customHeight="1">
      <c r="A79" s="3"/>
      <c r="G79" s="10" t="str">
        <f>IFERROR(baoliuxiaoshuwei((E79-F79)/(E79+F79)*100,0),"")</f>
        <v/>
      </c>
      <c r="H79" s="124" t="str">
        <f t="shared" si="1"/>
        <v/>
      </c>
      <c r="I79" s="10"/>
      <c r="J79" s="10" t="str">
        <f>IFERROR(IF(I79="ND","ND",XiuYue((((I79-基础页!$B$24)*基础页!$B$15/C79)),3,-1,9999)),"")</f>
        <v/>
      </c>
    </row>
    <row r="80" spans="1:10" ht="20.25" customHeight="1">
      <c r="A80" s="3"/>
      <c r="G80" s="10" t="str">
        <f>IFERROR(baoliuxiaoshuwei((E80-F80)/(E80+F80)*100,0),"")</f>
        <v/>
      </c>
      <c r="H80" s="124" t="str">
        <f t="shared" si="1"/>
        <v/>
      </c>
      <c r="I80" s="10"/>
      <c r="J80" s="10" t="str">
        <f>IFERROR(IF(I80="ND","ND",XiuYue((((I80-基础页!$B$24)*基础页!$B$15/C80)),3,-1,9999)),"")</f>
        <v/>
      </c>
    </row>
    <row r="81" spans="1:10" ht="20.25" customHeight="1">
      <c r="A81" s="3"/>
      <c r="G81" s="10" t="str">
        <f>IFERROR(baoliuxiaoshuwei((E81-F81)/(E81+F81)*100,0),"")</f>
        <v/>
      </c>
      <c r="H81" s="124" t="str">
        <f t="shared" si="1"/>
        <v/>
      </c>
      <c r="I81" s="10"/>
      <c r="J81" s="10" t="str">
        <f>IFERROR(IF(I81="ND","ND",XiuYue((((I81-基础页!$B$24)*基础页!$B$15/C81)),3,-1,9999)),"")</f>
        <v/>
      </c>
    </row>
    <row r="82" spans="1:10" ht="20.25" customHeight="1">
      <c r="A82" s="3"/>
      <c r="G82" s="10" t="str">
        <f>IFERROR(baoliuxiaoshuwei((E82-F82)/(E82+F82)*100,0),"")</f>
        <v/>
      </c>
      <c r="H82" s="124" t="str">
        <f t="shared" si="1"/>
        <v/>
      </c>
      <c r="I82" s="10"/>
      <c r="J82" s="10" t="str">
        <f>IFERROR(IF(I82="ND","ND",XiuYue((((I82-基础页!$B$24)*基础页!$B$15/C82)),3,-1,9999)),"")</f>
        <v/>
      </c>
    </row>
    <row r="83" spans="1:10" ht="20.25" customHeight="1">
      <c r="A83" s="3"/>
      <c r="G83" s="10" t="str">
        <f>IFERROR(baoliuxiaoshuwei((E83-F83)/(E83+F83)*100,0),"")</f>
        <v/>
      </c>
      <c r="H83" s="124" t="str">
        <f t="shared" si="1"/>
        <v/>
      </c>
      <c r="I83" s="10"/>
      <c r="J83" s="10" t="str">
        <f>IFERROR(IF(I83="ND","ND",XiuYue((((I83-基础页!$B$24)*基础页!$B$15/C83)),3,-1,9999)),"")</f>
        <v/>
      </c>
    </row>
    <row r="84" spans="1:10" ht="20.25" customHeight="1">
      <c r="A84" s="3"/>
      <c r="G84" s="10" t="str">
        <f>IFERROR(baoliuxiaoshuwei((E84-F84)/(E84+F84)*100,0),"")</f>
        <v/>
      </c>
      <c r="H84" s="124" t="str">
        <f t="shared" si="1"/>
        <v/>
      </c>
      <c r="I84" s="10"/>
      <c r="J84" s="10" t="str">
        <f>IFERROR(IF(I84="ND","ND",XiuYue((((I84-基础页!$B$24)*基础页!$B$15/C84)),3,-1,9999)),"")</f>
        <v/>
      </c>
    </row>
    <row r="85" spans="1:10" ht="20.25" customHeight="1">
      <c r="A85" s="3"/>
      <c r="G85" s="10" t="str">
        <f>IFERROR(baoliuxiaoshuwei((E85-F85)/(E85+F85)*100,0),"")</f>
        <v/>
      </c>
      <c r="H85" s="124" t="str">
        <f t="shared" si="1"/>
        <v/>
      </c>
      <c r="I85" s="10"/>
      <c r="J85" s="10" t="str">
        <f>IFERROR(IF(I85="ND","ND",XiuYue((((I85-基础页!$B$24)*基础页!$B$15/C85)),3,-1,9999)),"")</f>
        <v/>
      </c>
    </row>
    <row r="86" spans="1:10" ht="20.25" customHeight="1">
      <c r="A86" s="3"/>
      <c r="G86" s="10" t="str">
        <f>IFERROR(baoliuxiaoshuwei((E86-F86)/(E86+F86)*100,0),"")</f>
        <v/>
      </c>
      <c r="H86" s="124" t="str">
        <f t="shared" si="1"/>
        <v/>
      </c>
      <c r="I86" s="10"/>
      <c r="J86" s="10" t="str">
        <f>IFERROR(IF(I86="ND","ND",XiuYue((((I86-基础页!$B$24)*基础页!$B$15/C86)),3,-1,9999)),"")</f>
        <v/>
      </c>
    </row>
    <row r="87" spans="1:10" ht="20.25" customHeight="1">
      <c r="A87" s="3"/>
      <c r="G87" s="10" t="str">
        <f>IFERROR(baoliuxiaoshuwei((E87-F87)/(E87+F87)*100,0),"")</f>
        <v/>
      </c>
      <c r="H87" s="124" t="str">
        <f t="shared" si="1"/>
        <v/>
      </c>
      <c r="I87" s="10"/>
      <c r="J87" s="10" t="str">
        <f>IFERROR(IF(I87="ND","ND",XiuYue((((I87-基础页!$B$24)*基础页!$B$15/C87)),3,-1,9999)),"")</f>
        <v/>
      </c>
    </row>
    <row r="88" spans="1:10" ht="20.25" customHeight="1">
      <c r="A88" s="3"/>
      <c r="G88" s="10" t="str">
        <f>IFERROR(baoliuxiaoshuwei((E88-F88)/(E88+F88)*100,0),"")</f>
        <v/>
      </c>
      <c r="H88" s="124" t="str">
        <f t="shared" si="1"/>
        <v/>
      </c>
      <c r="I88" s="10"/>
      <c r="J88" s="10" t="str">
        <f>IFERROR(IF(I88="ND","ND",XiuYue((((I88-基础页!$B$24)*基础页!$B$15/C88)),3,-1,9999)),"")</f>
        <v/>
      </c>
    </row>
    <row r="89" spans="1:10" ht="20.25" customHeight="1">
      <c r="A89" s="3"/>
      <c r="G89" s="10" t="str">
        <f>IFERROR(baoliuxiaoshuwei((E89-F89)/(E89+F89)*100,0),"")</f>
        <v/>
      </c>
      <c r="H89" s="124" t="str">
        <f t="shared" si="1"/>
        <v/>
      </c>
      <c r="I89" s="10"/>
      <c r="J89" s="10" t="str">
        <f>IFERROR(IF(I89="ND","ND",XiuYue((((I89-基础页!$B$24)*基础页!$B$15/C89)),3,-1,9999)),"")</f>
        <v/>
      </c>
    </row>
    <row r="90" spans="1:10" ht="20.25" customHeight="1">
      <c r="A90" s="3"/>
      <c r="G90" s="10"/>
      <c r="H90" s="124" t="str">
        <f t="shared" si="1"/>
        <v/>
      </c>
      <c r="I90" s="10"/>
      <c r="J90" s="10" t="str">
        <f>IFERROR(IF(I90="ND","ND",XiuYue((((I90-基础页!$B$24)*基础页!$B$15/C90)),3,-1,9999)),"")</f>
        <v/>
      </c>
    </row>
    <row r="91" spans="1:10" ht="20.25" customHeight="1">
      <c r="A91" s="3"/>
      <c r="G91" s="10"/>
      <c r="H91" s="124" t="str">
        <f t="shared" si="1"/>
        <v/>
      </c>
      <c r="I91" s="10"/>
      <c r="J91" s="10" t="str">
        <f>IFERROR(IF(I91="ND","ND",XiuYue((((I91-基础页!$B$24)*基础页!$B$15/C91)),3,-1,9999)),"")</f>
        <v/>
      </c>
    </row>
    <row r="92" spans="1:10" ht="20.25" customHeight="1">
      <c r="A92" s="3"/>
      <c r="G92" s="10"/>
      <c r="H92" s="124" t="str">
        <f t="shared" si="1"/>
        <v/>
      </c>
      <c r="I92" s="10"/>
      <c r="J92" s="10" t="str">
        <f>IFERROR(IF(I92="ND","ND",XiuYue((((I92-基础页!$B$24)*基础页!$B$15/C92)),3,-1,9999)),"")</f>
        <v/>
      </c>
    </row>
    <row r="93" spans="1:10" ht="20.25" customHeight="1">
      <c r="A93" s="3"/>
      <c r="G93" s="10"/>
      <c r="H93" s="124" t="str">
        <f t="shared" si="1"/>
        <v/>
      </c>
      <c r="I93" s="10"/>
      <c r="J93" s="10" t="str">
        <f>IFERROR(IF(I93="ND","ND",XiuYue((((I93-基础页!$B$24)*基础页!$B$15/C93)),3,-1,9999)),"")</f>
        <v/>
      </c>
    </row>
    <row r="94" spans="1:10" ht="20.25" customHeight="1">
      <c r="A94" s="3"/>
      <c r="G94" s="10"/>
      <c r="H94" s="124" t="str">
        <f t="shared" si="1"/>
        <v/>
      </c>
      <c r="I94" s="10"/>
      <c r="J94" s="10" t="str">
        <f>IFERROR(IF(I94="ND","ND",XiuYue((((I94-基础页!$B$24)*基础页!$B$15/C94)),3,-1,9999)),"")</f>
        <v/>
      </c>
    </row>
    <row r="95" spans="1:10" ht="20.25" customHeight="1">
      <c r="A95" s="3"/>
      <c r="G95" s="10"/>
      <c r="H95" s="124" t="str">
        <f t="shared" si="1"/>
        <v/>
      </c>
      <c r="I95" s="10"/>
      <c r="J95" s="10" t="str">
        <f>IFERROR(IF(I95="ND","ND",XiuYue((((I95-基础页!$B$24)*基础页!$B$15/C95)),3,-1,9999)),"")</f>
        <v/>
      </c>
    </row>
    <row r="96" spans="1:10" ht="20.25" customHeight="1">
      <c r="A96" s="3"/>
      <c r="G96" s="10"/>
      <c r="H96" s="124" t="str">
        <f t="shared" si="1"/>
        <v/>
      </c>
      <c r="I96" s="10"/>
      <c r="J96" s="10" t="str">
        <f>IFERROR(IF(I96="ND","ND",XiuYue((((I96-基础页!$B$24)*基础页!$B$15/C96)),3,-1,9999)),"")</f>
        <v/>
      </c>
    </row>
    <row r="97" spans="1:10" ht="20.25" customHeight="1">
      <c r="A97" s="3"/>
      <c r="G97" s="10"/>
      <c r="H97" s="124" t="str">
        <f t="shared" si="1"/>
        <v/>
      </c>
      <c r="I97" s="10"/>
      <c r="J97" s="10" t="str">
        <f>IFERROR(IF(I97="ND","ND",XiuYue((((I97-基础页!$B$24)*基础页!$B$15/C97)),3,-1,9999)),"")</f>
        <v/>
      </c>
    </row>
    <row r="98" spans="1:10" ht="20.25" customHeight="1">
      <c r="A98" s="3"/>
      <c r="G98" s="10"/>
      <c r="H98" s="124" t="str">
        <f t="shared" si="1"/>
        <v/>
      </c>
      <c r="I98" s="10"/>
      <c r="J98" s="10" t="str">
        <f>IFERROR(IF(I98="ND","ND",XiuYue((((I98-基础页!$B$24)*基础页!$B$15/C98)),3,-1,9999)),"")</f>
        <v/>
      </c>
    </row>
    <row r="99" spans="1:10" ht="20.25" customHeight="1">
      <c r="A99" s="3"/>
      <c r="G99" s="10"/>
      <c r="H99" s="124" t="str">
        <f t="shared" si="1"/>
        <v/>
      </c>
      <c r="I99" s="10"/>
      <c r="J99" s="10" t="str">
        <f>IFERROR(IF(I99="ND","ND",XiuYue((((I99-基础页!$B$24)*基础页!$B$15/C99)),3,-1,9999)),"")</f>
        <v/>
      </c>
    </row>
    <row r="100" spans="1:10" ht="20.25" customHeight="1">
      <c r="A100" s="3"/>
      <c r="G100" s="10"/>
      <c r="H100" s="124" t="str">
        <f t="shared" si="1"/>
        <v/>
      </c>
      <c r="I100" s="10"/>
      <c r="J100" s="10" t="str">
        <f>IFERROR(IF(I100="ND","ND",XiuYue((((I100-基础页!$B$24)*基础页!$B$15/C100)),3,-1,9999)),"")</f>
        <v/>
      </c>
    </row>
    <row r="101" spans="1:10" ht="20.25" customHeight="1">
      <c r="A101" s="3"/>
      <c r="G101" s="10"/>
      <c r="H101" s="124" t="str">
        <f t="shared" si="1"/>
        <v/>
      </c>
      <c r="I101" s="10"/>
      <c r="J101" s="10" t="str">
        <f>IFERROR(IF(I101="ND","ND",XiuYue((((I101-基础页!$B$24)*基础页!$B$15/C101)),3,-1,9999)),"")</f>
        <v/>
      </c>
    </row>
    <row r="102" spans="1:10" ht="20.25" customHeight="1">
      <c r="A102" s="3"/>
      <c r="G102" s="10"/>
      <c r="H102" s="124" t="str">
        <f t="shared" si="1"/>
        <v/>
      </c>
      <c r="I102" s="10"/>
      <c r="J102" s="10" t="str">
        <f>IFERROR(IF(I102="ND","ND",XiuYue((((I102-基础页!$B$24)*基础页!$B$15/C102)),3,-1,9999)),"")</f>
        <v/>
      </c>
    </row>
    <row r="103" spans="1:10" ht="20.25" customHeight="1">
      <c r="A103" s="3"/>
      <c r="G103" s="10"/>
      <c r="H103" s="124" t="str">
        <f t="shared" si="1"/>
        <v/>
      </c>
      <c r="I103" s="10"/>
      <c r="J103" s="10" t="str">
        <f>IFERROR(IF(I103="ND","ND",XiuYue((((I103-基础页!$B$24)*基础页!$B$15/C103)),3,-1,9999)),"")</f>
        <v/>
      </c>
    </row>
    <row r="104" spans="1:10" ht="20.25" customHeight="1">
      <c r="A104" s="3"/>
      <c r="G104" s="10"/>
      <c r="H104" s="124" t="str">
        <f t="shared" si="1"/>
        <v/>
      </c>
      <c r="I104" s="10"/>
      <c r="J104" s="10" t="str">
        <f>IFERROR(IF(I104="ND","ND",XiuYue((((I104-基础页!$B$24)*基础页!$B$15/C104)),3,-1,9999)),"")</f>
        <v/>
      </c>
    </row>
    <row r="105" spans="1:10" ht="20.25" customHeight="1">
      <c r="A105" s="3"/>
      <c r="G105" s="10"/>
      <c r="H105" s="124" t="str">
        <f t="shared" si="1"/>
        <v/>
      </c>
      <c r="I105" s="10"/>
      <c r="J105" s="10" t="str">
        <f>IFERROR(IF(I105="ND","ND",XiuYue((((I105-基础页!$B$24)*基础页!$B$15/C105)),3,-1,9999)),"")</f>
        <v/>
      </c>
    </row>
    <row r="106" spans="1:10" ht="20.25" customHeight="1">
      <c r="A106" s="3"/>
      <c r="G106" s="10"/>
      <c r="H106" s="124" t="str">
        <f t="shared" si="1"/>
        <v/>
      </c>
      <c r="I106" s="10"/>
      <c r="J106" s="10" t="str">
        <f>IFERROR(IF(I106="ND","ND",XiuYue((((I106-基础页!$B$24)*基础页!$B$15/C106)),3,-1,9999)),"")</f>
        <v/>
      </c>
    </row>
    <row r="107" spans="1:10" ht="20.25" customHeight="1">
      <c r="A107" s="3"/>
      <c r="G107" s="10"/>
      <c r="H107" s="124" t="str">
        <f t="shared" si="1"/>
        <v/>
      </c>
      <c r="I107" s="10"/>
      <c r="J107" s="10" t="str">
        <f>IFERROR(IF(I107="ND","ND",XiuYue((((I107-基础页!$B$24)*基础页!$B$15/C107)),3,-1,9999)),"")</f>
        <v/>
      </c>
    </row>
    <row r="108" spans="1:10" ht="20.25" customHeight="1">
      <c r="A108" s="3"/>
      <c r="G108" s="10"/>
      <c r="H108" s="124" t="str">
        <f t="shared" si="1"/>
        <v/>
      </c>
      <c r="I108" s="10"/>
      <c r="J108" s="10" t="str">
        <f>IFERROR(IF(I108="ND","ND",XiuYue((((I108-基础页!$B$24)*基础页!$B$15/C108)),3,-1,9999)),"")</f>
        <v/>
      </c>
    </row>
    <row r="109" spans="1:10" ht="20.25" customHeight="1">
      <c r="A109" s="3"/>
      <c r="G109" s="10"/>
      <c r="H109" s="124" t="str">
        <f t="shared" si="1"/>
        <v/>
      </c>
      <c r="I109" s="10"/>
      <c r="J109" s="10" t="str">
        <f>IFERROR(IF(I109="ND","ND",XiuYue((((I109-基础页!$B$24)*基础页!$B$15/C109)),3,-1,9999)),"")</f>
        <v/>
      </c>
    </row>
    <row r="110" spans="1:10" ht="20.25" customHeight="1">
      <c r="A110" s="3"/>
      <c r="G110" s="10"/>
      <c r="H110" s="124" t="str">
        <f t="shared" si="1"/>
        <v/>
      </c>
      <c r="I110" s="10"/>
      <c r="J110" s="10" t="str">
        <f>IFERROR(IF(I110="ND","ND",XiuYue((((I110-基础页!$B$24)*基础页!$B$15/C110)),3,-1,9999)),"")</f>
        <v/>
      </c>
    </row>
    <row r="111" spans="1:10" ht="20.25" customHeight="1">
      <c r="A111" s="3"/>
      <c r="G111" s="10"/>
      <c r="H111" s="124" t="str">
        <f t="shared" si="1"/>
        <v/>
      </c>
      <c r="I111" s="10"/>
      <c r="J111" s="10" t="str">
        <f>IFERROR(IF(I111="ND","ND",XiuYue((((I111-基础页!$B$24)*基础页!$B$15/C111)),3,-1,9999)),"")</f>
        <v/>
      </c>
    </row>
    <row r="112" spans="1:10" ht="20.25" customHeight="1">
      <c r="A112" s="3"/>
      <c r="G112" s="10"/>
      <c r="H112" s="124" t="str">
        <f t="shared" si="1"/>
        <v/>
      </c>
      <c r="I112" s="10"/>
      <c r="J112" s="10" t="str">
        <f>IFERROR(IF(I112="ND","ND",XiuYue((((I112-基础页!$B$24)*基础页!$B$15/C112)),3,-1,9999)),"")</f>
        <v/>
      </c>
    </row>
    <row r="113" spans="1:10" ht="20.25" customHeight="1">
      <c r="A113" s="3"/>
      <c r="G113" s="10"/>
      <c r="H113" s="124" t="str">
        <f t="shared" si="1"/>
        <v/>
      </c>
      <c r="I113" s="10"/>
      <c r="J113" s="10" t="str">
        <f>IFERROR(IF(I113="ND","ND",XiuYue((((I113-基础页!$B$24)*基础页!$B$15/C113)),3,-1,9999)),"")</f>
        <v/>
      </c>
    </row>
    <row r="114" spans="1:10" ht="20.25" customHeight="1">
      <c r="A114" s="3"/>
      <c r="G114" s="10"/>
      <c r="H114" s="124" t="str">
        <f t="shared" si="1"/>
        <v/>
      </c>
      <c r="I114" s="10"/>
      <c r="J114" s="10" t="str">
        <f>IFERROR(IF(I114="ND","ND",XiuYue((((I114-基础页!$B$24)*基础页!$B$15/C114)),3,-1,9999)),"")</f>
        <v/>
      </c>
    </row>
    <row r="115" spans="1:10" ht="20.25" customHeight="1">
      <c r="A115" s="3"/>
      <c r="G115" s="10"/>
      <c r="H115" s="124" t="str">
        <f t="shared" si="1"/>
        <v/>
      </c>
      <c r="I115" s="10"/>
      <c r="J115" s="10" t="str">
        <f>IFERROR(IF(I115="ND","ND",XiuYue((((I115-基础页!$B$24)*基础页!$B$15/C115)),3,-1,9999)),"")</f>
        <v/>
      </c>
    </row>
    <row r="116" spans="1:10" ht="20.25" customHeight="1">
      <c r="A116" s="3"/>
      <c r="G116" s="10"/>
      <c r="H116" s="124" t="str">
        <f t="shared" si="1"/>
        <v/>
      </c>
      <c r="I116" s="10"/>
      <c r="J116" s="10" t="str">
        <f>IFERROR(IF(I116="ND","ND",XiuYue((((I116-基础页!$B$24)*基础页!$B$15/C116)),3,-1,9999)),"")</f>
        <v/>
      </c>
    </row>
    <row r="117" spans="1:10" ht="20.25" customHeight="1">
      <c r="A117" s="3"/>
      <c r="G117" s="10"/>
      <c r="H117" s="124" t="str">
        <f t="shared" si="1"/>
        <v/>
      </c>
      <c r="I117" s="10"/>
      <c r="J117" s="10" t="str">
        <f>IFERROR(IF(I117="ND","ND",XiuYue((((I117-基础页!$B$24)*基础页!$B$15/C117)),3,-1,9999)),"")</f>
        <v/>
      </c>
    </row>
    <row r="118" spans="1:10" ht="20.25" customHeight="1">
      <c r="A118" s="3"/>
      <c r="G118" s="10"/>
      <c r="H118" s="124" t="str">
        <f t="shared" si="1"/>
        <v/>
      </c>
      <c r="I118" s="10"/>
      <c r="J118" s="10" t="str">
        <f>IFERROR(IF(I118="ND","ND",XiuYue((((I118-基础页!$B$24)*基础页!$B$15/C118)),3,-1,9999)),"")</f>
        <v/>
      </c>
    </row>
    <row r="119" spans="1:10" ht="20.25" customHeight="1">
      <c r="A119" s="3"/>
      <c r="G119" s="10"/>
      <c r="H119" s="124" t="str">
        <f t="shared" si="1"/>
        <v/>
      </c>
      <c r="I119" s="10"/>
      <c r="J119" s="10" t="str">
        <f>IFERROR(IF(I119="ND","ND",XiuYue((((I119-基础页!$B$24)*基础页!$B$15/C119)),3,-1,9999)),"")</f>
        <v/>
      </c>
    </row>
    <row r="120" spans="1:10" ht="20.25" customHeight="1">
      <c r="A120" s="3"/>
      <c r="G120" s="10"/>
      <c r="H120" s="124" t="str">
        <f t="shared" si="1"/>
        <v/>
      </c>
      <c r="I120" s="10"/>
      <c r="J120" s="10" t="str">
        <f>IFERROR(IF(I120="ND","ND",XiuYue((((I120-基础页!$B$24)*基础页!$B$15/C120)),3,-1,9999)),"")</f>
        <v/>
      </c>
    </row>
    <row r="121" spans="1:10" ht="20.25" customHeight="1">
      <c r="A121" s="3"/>
      <c r="G121" s="10"/>
      <c r="H121" s="124" t="str">
        <f t="shared" si="1"/>
        <v/>
      </c>
      <c r="I121" s="10"/>
      <c r="J121" s="10" t="str">
        <f>IFERROR(IF(I121="ND","ND",XiuYue((((I121-基础页!$B$24)*基础页!$B$15/C121)),3,-1,9999)),"")</f>
        <v/>
      </c>
    </row>
    <row r="122" spans="1:10" ht="20.25" customHeight="1">
      <c r="A122" s="3"/>
      <c r="G122" s="10"/>
      <c r="H122" s="124" t="str">
        <f t="shared" si="1"/>
        <v/>
      </c>
      <c r="I122" s="10"/>
      <c r="J122" s="10" t="str">
        <f>IFERROR(IF(I122="ND","ND",XiuYue((((I122-基础页!$B$24)*基础页!$B$15/C122)),3,-1,9999)),"")</f>
        <v/>
      </c>
    </row>
    <row r="123" spans="1:10" ht="20.25" customHeight="1">
      <c r="A123" s="3"/>
      <c r="G123" s="10"/>
      <c r="H123" s="124" t="str">
        <f t="shared" si="1"/>
        <v/>
      </c>
      <c r="I123" s="10"/>
      <c r="J123" s="10" t="str">
        <f>IFERROR(IF(I123="ND","ND",XiuYue((((I123-基础页!$B$24)*基础页!$B$15/C123)),3,-1,9999)),"")</f>
        <v/>
      </c>
    </row>
    <row r="124" spans="1:10" ht="20.25" customHeight="1">
      <c r="A124" s="3"/>
      <c r="G124" s="10"/>
      <c r="H124" s="124" t="str">
        <f t="shared" si="1"/>
        <v/>
      </c>
      <c r="I124" s="10"/>
      <c r="J124" s="10" t="str">
        <f>IFERROR(IF(I124="ND","ND",XiuYue((((I124-基础页!$B$24)*基础页!$B$15/C124)),3,-1,9999)),"")</f>
        <v/>
      </c>
    </row>
    <row r="125" spans="1:10" ht="20.25" customHeight="1">
      <c r="A125" s="3"/>
      <c r="G125" s="10"/>
      <c r="H125" s="124" t="str">
        <f t="shared" si="1"/>
        <v/>
      </c>
      <c r="I125" s="10"/>
      <c r="J125" s="10" t="str">
        <f>IFERROR(IF(I125="ND","ND",XiuYue((((I125-基础页!$B$24)*基础页!$B$15/C125)),3,-1,9999)),"")</f>
        <v/>
      </c>
    </row>
    <row r="126" spans="1:10" ht="20.25" customHeight="1">
      <c r="A126" s="3"/>
      <c r="G126" s="10"/>
      <c r="H126" s="124" t="str">
        <f t="shared" si="1"/>
        <v/>
      </c>
      <c r="I126" s="10"/>
      <c r="J126" s="10" t="str">
        <f>IFERROR(IF(I126="ND","ND",XiuYue((((I126-基础页!$B$24)*基础页!$B$15/C126)),3,-1,9999)),"")</f>
        <v/>
      </c>
    </row>
    <row r="127" spans="1:10" ht="20.25" customHeight="1">
      <c r="A127" s="3"/>
      <c r="G127" s="10"/>
      <c r="H127" s="124" t="str">
        <f t="shared" si="1"/>
        <v/>
      </c>
      <c r="I127" s="10"/>
      <c r="J127" s="10" t="str">
        <f>IFERROR(IF(I127="ND","ND",XiuYue((((I127-基础页!$B$24)*基础页!$B$15/C127)),3,-1,9999)),"")</f>
        <v/>
      </c>
    </row>
    <row r="128" spans="1:10" ht="20.25" customHeight="1">
      <c r="A128" s="3"/>
      <c r="G128" s="10"/>
      <c r="H128" s="124" t="str">
        <f t="shared" si="1"/>
        <v/>
      </c>
      <c r="I128" s="10"/>
      <c r="J128" s="10" t="str">
        <f>IFERROR(IF(I128="ND","ND",XiuYue((((I128-基础页!$B$24)*基础页!$B$15/C128)),3,-1,9999)),"")</f>
        <v/>
      </c>
    </row>
    <row r="129" spans="1:10" ht="20.25" customHeight="1">
      <c r="A129" s="3"/>
      <c r="G129" s="10"/>
      <c r="H129" s="124" t="str">
        <f t="shared" si="1"/>
        <v/>
      </c>
      <c r="I129" s="10"/>
      <c r="J129" s="10" t="str">
        <f>IFERROR(IF(I129="ND","ND",XiuYue((((I129-基础页!$B$24)*基础页!$B$15/C129)),3,-1,9999)),"")</f>
        <v/>
      </c>
    </row>
    <row r="130" spans="1:10" ht="20.25" customHeight="1">
      <c r="A130" s="3"/>
      <c r="G130" s="10"/>
      <c r="H130" s="124" t="str">
        <f t="shared" si="1"/>
        <v/>
      </c>
      <c r="I130" s="10"/>
      <c r="J130" s="10" t="str">
        <f>IFERROR(IF(I130="ND","ND",XiuYue((((I130-基础页!$B$24)*基础页!$B$15/C130)),3,-1,9999)),"")</f>
        <v/>
      </c>
    </row>
    <row r="131" spans="1:10" ht="20.25" customHeight="1">
      <c r="A131" s="3"/>
      <c r="G131" s="10"/>
      <c r="H131" s="124" t="str">
        <f t="shared" si="1"/>
        <v/>
      </c>
      <c r="I131" s="10"/>
      <c r="J131" s="10" t="str">
        <f>IFERROR(IF(I131="ND","ND",XiuYue((((I131-基础页!$B$24)*基础页!$B$15/C131)),3,-1,9999)),"")</f>
        <v/>
      </c>
    </row>
    <row r="132" spans="1:10" ht="20.25" customHeight="1">
      <c r="A132" s="3"/>
      <c r="G132" s="10"/>
      <c r="H132" s="124" t="str">
        <f t="shared" si="1"/>
        <v/>
      </c>
      <c r="I132" s="10"/>
      <c r="J132" s="10" t="str">
        <f>IFERROR(IF(I132="ND","ND",XiuYue((((I132-基础页!$B$24)*基础页!$B$15/C132)),3,-1,9999)),"")</f>
        <v/>
      </c>
    </row>
    <row r="133" spans="1:10" ht="20.25" customHeight="1">
      <c r="A133" s="3"/>
      <c r="G133" s="10"/>
      <c r="H133" s="124" t="str">
        <f t="shared" si="1"/>
        <v/>
      </c>
      <c r="I133" s="10"/>
      <c r="J133" s="10" t="str">
        <f>IFERROR(IF(I133="ND","ND",XiuYue((((I133-基础页!$B$24)*基础页!$B$15/C133)),3,-1,9999)),"")</f>
        <v/>
      </c>
    </row>
    <row r="134" spans="1:10" ht="20.25" customHeight="1">
      <c r="A134" s="3"/>
      <c r="G134" s="10"/>
      <c r="H134" s="124" t="str">
        <f t="shared" ref="H134:H197" si="2">IFERROR(IF(ISBLANK(I134),"",IF(J134="ND","否","是")),"")</f>
        <v/>
      </c>
      <c r="I134" s="10"/>
      <c r="J134" s="10" t="str">
        <f>IFERROR(IF(I134="ND","ND",XiuYue((((I134-基础页!$B$24)*基础页!$B$15/C134)),3,-1,9999)),"")</f>
        <v/>
      </c>
    </row>
    <row r="135" spans="1:10" ht="20.25" customHeight="1">
      <c r="A135" s="3"/>
      <c r="G135" s="10"/>
      <c r="H135" s="124" t="str">
        <f t="shared" si="2"/>
        <v/>
      </c>
      <c r="I135" s="10"/>
      <c r="J135" s="10" t="str">
        <f>IFERROR(IF(I135="ND","ND",XiuYue((((I135-基础页!$B$24)*基础页!$B$15/C135)),3,-1,9999)),"")</f>
        <v/>
      </c>
    </row>
    <row r="136" spans="1:10" ht="20.25" customHeight="1">
      <c r="A136" s="3"/>
      <c r="G136" s="10"/>
      <c r="H136" s="124" t="str">
        <f t="shared" si="2"/>
        <v/>
      </c>
      <c r="I136" s="10"/>
      <c r="J136" s="10" t="str">
        <f>IFERROR(IF(I136="ND","ND",XiuYue((((I136-基础页!$B$24)*基础页!$B$15/C136)),3,-1,9999)),"")</f>
        <v/>
      </c>
    </row>
    <row r="137" spans="1:10" ht="20.25" customHeight="1">
      <c r="A137" s="3"/>
      <c r="G137" s="10"/>
      <c r="H137" s="124" t="str">
        <f t="shared" si="2"/>
        <v/>
      </c>
      <c r="I137" s="10"/>
      <c r="J137" s="10" t="str">
        <f>IFERROR(IF(I137="ND","ND",XiuYue((((I137-基础页!$B$24)*基础页!$B$15/C137)),3,-1,9999)),"")</f>
        <v/>
      </c>
    </row>
    <row r="138" spans="1:10" ht="20.25" customHeight="1">
      <c r="A138" s="3"/>
      <c r="G138" s="10"/>
      <c r="H138" s="124" t="str">
        <f t="shared" si="2"/>
        <v/>
      </c>
      <c r="I138" s="10"/>
      <c r="J138" s="10" t="str">
        <f>IFERROR(IF(I138="ND","ND",XiuYue((((I138-基础页!$B$24)*基础页!$B$15/C138)),3,-1,9999)),"")</f>
        <v/>
      </c>
    </row>
    <row r="139" spans="1:10" ht="20.25" customHeight="1">
      <c r="A139" s="3"/>
      <c r="G139" s="10"/>
      <c r="H139" s="124" t="str">
        <f t="shared" si="2"/>
        <v/>
      </c>
      <c r="I139" s="10"/>
      <c r="J139" s="10" t="str">
        <f>IFERROR(IF(I139="ND","ND",XiuYue((((I139-基础页!$B$24)*基础页!$B$15/C139)),3,-1,9999)),"")</f>
        <v/>
      </c>
    </row>
    <row r="140" spans="1:10" ht="20.25" customHeight="1">
      <c r="A140" s="3"/>
      <c r="G140" s="10"/>
      <c r="H140" s="124" t="str">
        <f t="shared" si="2"/>
        <v/>
      </c>
      <c r="I140" s="10"/>
      <c r="J140" s="10" t="str">
        <f>IFERROR(IF(I140="ND","ND",XiuYue((((I140-基础页!$B$24)*基础页!$B$15/C140)),3,-1,9999)),"")</f>
        <v/>
      </c>
    </row>
    <row r="141" spans="1:10" ht="20.25" customHeight="1">
      <c r="A141" s="3"/>
      <c r="G141" s="10"/>
      <c r="H141" s="124" t="str">
        <f t="shared" si="2"/>
        <v/>
      </c>
      <c r="I141" s="10"/>
      <c r="J141" s="10" t="str">
        <f>IFERROR(IF(I141="ND","ND",XiuYue((((I141-基础页!$B$24)*基础页!$B$15/C141)),3,-1,9999)),"")</f>
        <v/>
      </c>
    </row>
    <row r="142" spans="1:10" ht="20.25" customHeight="1">
      <c r="A142" s="3"/>
      <c r="G142" s="10"/>
      <c r="H142" s="124" t="str">
        <f t="shared" si="2"/>
        <v/>
      </c>
      <c r="I142" s="10"/>
      <c r="J142" s="10" t="str">
        <f>IFERROR(IF(I142="ND","ND",XiuYue((((I142-基础页!$B$24)*基础页!$B$15/C142)),3,-1,9999)),"")</f>
        <v/>
      </c>
    </row>
    <row r="143" spans="1:10" ht="20.25" customHeight="1">
      <c r="A143" s="3"/>
      <c r="G143" s="10"/>
      <c r="H143" s="124" t="str">
        <f t="shared" si="2"/>
        <v/>
      </c>
      <c r="I143" s="10"/>
      <c r="J143" s="10" t="str">
        <f>IFERROR(IF(I143="ND","ND",XiuYue((((I143-基础页!$B$24)*基础页!$B$15/C143)),3,-1,9999)),"")</f>
        <v/>
      </c>
    </row>
    <row r="144" spans="1:10" ht="20.25" customHeight="1">
      <c r="A144" s="3"/>
      <c r="G144" s="10"/>
      <c r="H144" s="124" t="str">
        <f t="shared" si="2"/>
        <v/>
      </c>
      <c r="I144" s="10"/>
      <c r="J144" s="10" t="str">
        <f>IFERROR(IF(I144="ND","ND",XiuYue((((I144-基础页!$B$24)*基础页!$B$15/C144)),3,-1,9999)),"")</f>
        <v/>
      </c>
    </row>
    <row r="145" spans="1:10" ht="20.25" customHeight="1">
      <c r="A145" s="3"/>
      <c r="G145" s="10"/>
      <c r="H145" s="124" t="str">
        <f t="shared" si="2"/>
        <v/>
      </c>
      <c r="I145" s="10"/>
      <c r="J145" s="10" t="str">
        <f>IFERROR(IF(I145="ND","ND",XiuYue((((I145-基础页!$B$24)*基础页!$B$15/C145)),3,-1,9999)),"")</f>
        <v/>
      </c>
    </row>
    <row r="146" spans="1:10" ht="20.25" customHeight="1">
      <c r="A146" s="3"/>
      <c r="G146" s="10"/>
      <c r="H146" s="124" t="str">
        <f t="shared" si="2"/>
        <v/>
      </c>
      <c r="I146" s="10"/>
      <c r="J146" s="10" t="str">
        <f>IFERROR(IF(I146="ND","ND",XiuYue((((I146-基础页!$B$24)*基础页!$B$15/C146)),3,-1,9999)),"")</f>
        <v/>
      </c>
    </row>
    <row r="147" spans="1:10" ht="20.25" customHeight="1">
      <c r="A147" s="3"/>
      <c r="G147" s="10"/>
      <c r="H147" s="124" t="str">
        <f t="shared" si="2"/>
        <v/>
      </c>
      <c r="I147" s="10"/>
      <c r="J147" s="10" t="str">
        <f>IFERROR(IF(I147="ND","ND",XiuYue((((I147-基础页!$B$24)*基础页!$B$15/C147)),3,-1,9999)),"")</f>
        <v/>
      </c>
    </row>
    <row r="148" spans="1:10" ht="20.25" customHeight="1">
      <c r="A148" s="3"/>
      <c r="G148" s="10"/>
      <c r="H148" s="124" t="str">
        <f t="shared" si="2"/>
        <v/>
      </c>
      <c r="I148" s="10"/>
      <c r="J148" s="10" t="str">
        <f>IFERROR(IF(I148="ND","ND",XiuYue((((I148-基础页!$B$24)*基础页!$B$15/C148)),3,-1,9999)),"")</f>
        <v/>
      </c>
    </row>
    <row r="149" spans="1:10" ht="20.25" customHeight="1">
      <c r="A149" s="3"/>
      <c r="G149" s="10"/>
      <c r="H149" s="124" t="str">
        <f t="shared" si="2"/>
        <v/>
      </c>
      <c r="I149" s="10"/>
      <c r="J149" s="10" t="str">
        <f>IFERROR(IF(I149="ND","ND",XiuYue((((I149-基础页!$B$24)*基础页!$B$15/C149)),3,-1,9999)),"")</f>
        <v/>
      </c>
    </row>
    <row r="150" spans="1:10" ht="20.25" customHeight="1">
      <c r="A150" s="3"/>
      <c r="G150" s="10"/>
      <c r="H150" s="124" t="str">
        <f t="shared" si="2"/>
        <v/>
      </c>
      <c r="I150" s="10"/>
      <c r="J150" s="10" t="str">
        <f>IFERROR(IF(I150="ND","ND",XiuYue((((I150-基础页!$B$24)*基础页!$B$15/C150)),3,-1,9999)),"")</f>
        <v/>
      </c>
    </row>
    <row r="151" spans="1:10" ht="20.25" customHeight="1">
      <c r="A151" s="3"/>
      <c r="G151" s="10"/>
      <c r="H151" s="124" t="str">
        <f t="shared" si="2"/>
        <v/>
      </c>
      <c r="I151" s="10"/>
      <c r="J151" s="10" t="str">
        <f>IFERROR(IF(I151="ND","ND",XiuYue((((I151-基础页!$B$24)*基础页!$B$15/C151)),3,-1,9999)),"")</f>
        <v/>
      </c>
    </row>
    <row r="152" spans="1:10" ht="20.25" customHeight="1">
      <c r="A152" s="3"/>
      <c r="G152" s="10"/>
      <c r="H152" s="124" t="str">
        <f t="shared" si="2"/>
        <v/>
      </c>
      <c r="I152" s="10"/>
      <c r="J152" s="10" t="str">
        <f>IFERROR(IF(I152="ND","ND",XiuYue((((I152-基础页!$B$24)*基础页!$B$15/C152)),3,-1,9999)),"")</f>
        <v/>
      </c>
    </row>
    <row r="153" spans="1:10" ht="20.25" customHeight="1">
      <c r="A153" s="3"/>
      <c r="G153" s="10"/>
      <c r="H153" s="124" t="str">
        <f t="shared" si="2"/>
        <v/>
      </c>
      <c r="I153" s="10"/>
      <c r="J153" s="10" t="str">
        <f>IFERROR(IF(I153="ND","ND",XiuYue((((I153-基础页!$B$24)*基础页!$B$15/C153)),3,-1,9999)),"")</f>
        <v/>
      </c>
    </row>
    <row r="154" spans="1:10" ht="20.25" customHeight="1">
      <c r="A154" s="3"/>
      <c r="G154" s="10"/>
      <c r="H154" s="124" t="str">
        <f t="shared" si="2"/>
        <v/>
      </c>
      <c r="I154" s="10"/>
      <c r="J154" s="10" t="str">
        <f>IFERROR(IF(I154="ND","ND",XiuYue((((I154-基础页!$B$24)*基础页!$B$15/C154)),3,-1,9999)),"")</f>
        <v/>
      </c>
    </row>
    <row r="155" spans="1:10" ht="20.25" customHeight="1">
      <c r="A155" s="3"/>
      <c r="G155" s="10"/>
      <c r="H155" s="124" t="str">
        <f t="shared" si="2"/>
        <v/>
      </c>
      <c r="I155" s="10"/>
      <c r="J155" s="10" t="str">
        <f>IFERROR(IF(I155="ND","ND",XiuYue((((I155-基础页!$B$24)*基础页!$B$15/C155)),3,-1,9999)),"")</f>
        <v/>
      </c>
    </row>
    <row r="156" spans="1:10" ht="20.25" customHeight="1">
      <c r="A156" s="3"/>
      <c r="G156" s="10"/>
      <c r="H156" s="124" t="str">
        <f t="shared" si="2"/>
        <v/>
      </c>
      <c r="I156" s="10"/>
      <c r="J156" s="10" t="str">
        <f>IFERROR(IF(I156="ND","ND",XiuYue((((I156-基础页!$B$24)*基础页!$B$15/C156)),3,-1,9999)),"")</f>
        <v/>
      </c>
    </row>
    <row r="157" spans="1:10" ht="20.25" customHeight="1">
      <c r="A157" s="3"/>
      <c r="G157" s="10"/>
      <c r="H157" s="124" t="str">
        <f t="shared" si="2"/>
        <v/>
      </c>
      <c r="I157" s="10"/>
      <c r="J157" s="10" t="str">
        <f>IFERROR(IF(I157="ND","ND",XiuYue((((I157-基础页!$B$24)*基础页!$B$15/C157)),3,-1,9999)),"")</f>
        <v/>
      </c>
    </row>
    <row r="158" spans="1:10" ht="20.25" customHeight="1">
      <c r="A158" s="3"/>
      <c r="G158" s="10"/>
      <c r="H158" s="124" t="str">
        <f t="shared" si="2"/>
        <v/>
      </c>
      <c r="I158" s="10"/>
      <c r="J158" s="10" t="str">
        <f>IFERROR(IF(I158="ND","ND",XiuYue((((I158-基础页!$B$24)*基础页!$B$15/C158)),3,-1,9999)),"")</f>
        <v/>
      </c>
    </row>
    <row r="159" spans="1:10" ht="20.25" customHeight="1">
      <c r="A159" s="3"/>
      <c r="G159" s="10"/>
      <c r="H159" s="124" t="str">
        <f t="shared" si="2"/>
        <v/>
      </c>
      <c r="I159" s="10"/>
      <c r="J159" s="10" t="str">
        <f>IFERROR(IF(I159="ND","ND",XiuYue((((I159-基础页!$B$24)*基础页!$B$15/C159)),3,-1,9999)),"")</f>
        <v/>
      </c>
    </row>
    <row r="160" spans="1:10" ht="20.25" customHeight="1">
      <c r="A160" s="3"/>
      <c r="G160" s="10"/>
      <c r="H160" s="124" t="str">
        <f t="shared" si="2"/>
        <v/>
      </c>
      <c r="I160" s="10"/>
      <c r="J160" s="10" t="str">
        <f>IFERROR(IF(I160="ND","ND",XiuYue((((I160-基础页!$B$24)*基础页!$B$15/C160)),3,-1,9999)),"")</f>
        <v/>
      </c>
    </row>
    <row r="161" spans="7:10" ht="20.25" customHeight="1">
      <c r="G161" s="10"/>
      <c r="H161" s="124" t="str">
        <f t="shared" si="2"/>
        <v/>
      </c>
      <c r="I161" s="10"/>
      <c r="J161" s="10" t="str">
        <f>IFERROR(IF(I161="ND","ND",XiuYue((((I161-基础页!$B$24)*基础页!$B$15/C161)),3,-1,9999)),"")</f>
        <v/>
      </c>
    </row>
    <row r="162" spans="7:10" ht="20.25" customHeight="1">
      <c r="G162" s="10"/>
      <c r="H162" s="124" t="str">
        <f t="shared" si="2"/>
        <v/>
      </c>
      <c r="I162" s="10"/>
      <c r="J162" s="10" t="str">
        <f>IFERROR(IF(I162="ND","ND",XiuYue((((I162-基础页!$B$24)*基础页!$B$15/C162)),3,-1,9999)),"")</f>
        <v/>
      </c>
    </row>
    <row r="163" spans="7:10" ht="20.25" customHeight="1">
      <c r="G163" s="10"/>
      <c r="H163" s="124" t="str">
        <f t="shared" si="2"/>
        <v/>
      </c>
      <c r="I163" s="10"/>
      <c r="J163" s="10" t="str">
        <f>IFERROR(IF(I163="ND","ND",XiuYue((((I163-基础页!$B$24)*基础页!$B$15/C163)),3,-1,9999)),"")</f>
        <v/>
      </c>
    </row>
    <row r="164" spans="7:10" ht="20.25" customHeight="1">
      <c r="G164" s="10"/>
      <c r="H164" s="124" t="str">
        <f t="shared" si="2"/>
        <v/>
      </c>
      <c r="I164" s="10"/>
      <c r="J164" s="10" t="str">
        <f>IFERROR(IF(I164="ND","ND",XiuYue((((I164-基础页!$B$24)*基础页!$B$15/C164)),3,-1,9999)),"")</f>
        <v/>
      </c>
    </row>
    <row r="165" spans="7:10" ht="20.25" customHeight="1">
      <c r="G165" s="10"/>
      <c r="H165" s="124" t="str">
        <f t="shared" si="2"/>
        <v/>
      </c>
      <c r="I165" s="10"/>
      <c r="J165" s="10" t="str">
        <f>IFERROR(IF(I165="ND","ND",XiuYue((((I165-基础页!$B$24)*基础页!$B$15/C165)),3,-1,9999)),"")</f>
        <v/>
      </c>
    </row>
    <row r="166" spans="7:10" ht="20.25" customHeight="1">
      <c r="G166" s="10"/>
      <c r="H166" s="124" t="str">
        <f t="shared" si="2"/>
        <v/>
      </c>
      <c r="I166" s="10"/>
      <c r="J166" s="10" t="str">
        <f>IFERROR(IF(I166="ND","ND",XiuYue((((I166-基础页!$B$24)*基础页!$B$15/C166)),3,-1,9999)),"")</f>
        <v/>
      </c>
    </row>
    <row r="167" spans="7:10" ht="20.25" customHeight="1">
      <c r="G167" s="10"/>
      <c r="H167" s="124" t="str">
        <f t="shared" si="2"/>
        <v/>
      </c>
      <c r="I167" s="10"/>
      <c r="J167" s="10" t="str">
        <f>IFERROR(IF(I167="ND","ND",XiuYue((((I167-基础页!$B$24)*基础页!$B$15/C167)),3,-1,9999)),"")</f>
        <v/>
      </c>
    </row>
    <row r="168" spans="7:10" ht="20.25" customHeight="1">
      <c r="G168" s="10"/>
      <c r="H168" s="124" t="str">
        <f t="shared" si="2"/>
        <v/>
      </c>
      <c r="I168" s="10"/>
      <c r="J168" s="10" t="str">
        <f>IFERROR(IF(I168="ND","ND",XiuYue((((I168-基础页!$B$24)*基础页!$B$15/C168)),3,-1,9999)),"")</f>
        <v/>
      </c>
    </row>
    <row r="169" spans="7:10" ht="20.25" customHeight="1">
      <c r="G169" s="10"/>
      <c r="H169" s="124" t="str">
        <f t="shared" si="2"/>
        <v/>
      </c>
      <c r="I169" s="10"/>
      <c r="J169" s="10" t="str">
        <f>IFERROR(IF(I169="ND","ND",XiuYue((((I169-基础页!$B$24)*基础页!$B$15/C169)),3,-1,9999)),"")</f>
        <v/>
      </c>
    </row>
    <row r="170" spans="7:10" ht="20.25" customHeight="1">
      <c r="G170" s="10"/>
      <c r="H170" s="124" t="str">
        <f t="shared" si="2"/>
        <v/>
      </c>
      <c r="I170" s="10"/>
      <c r="J170" s="10" t="str">
        <f>IFERROR(IF(I170="ND","ND",XiuYue((((I170-基础页!$B$24)*基础页!$B$15/C170)),3,-1,9999)),"")</f>
        <v/>
      </c>
    </row>
    <row r="171" spans="7:10" ht="20.25" customHeight="1">
      <c r="G171" s="10"/>
      <c r="H171" s="124" t="str">
        <f t="shared" si="2"/>
        <v/>
      </c>
      <c r="I171" s="10"/>
      <c r="J171" s="10" t="str">
        <f>IFERROR(IF(I171="ND","ND",XiuYue((((I171-基础页!$B$24)*基础页!$B$15/C171)),3,-1,9999)),"")</f>
        <v/>
      </c>
    </row>
    <row r="172" spans="7:10" ht="20.25" customHeight="1">
      <c r="G172" s="10"/>
      <c r="H172" s="124" t="str">
        <f t="shared" si="2"/>
        <v/>
      </c>
      <c r="I172" s="10"/>
      <c r="J172" s="10" t="str">
        <f>IFERROR(IF(I172="ND","ND",XiuYue((((I172-基础页!$B$24)*基础页!$B$15/C172)),3,-1,9999)),"")</f>
        <v/>
      </c>
    </row>
    <row r="173" spans="7:10" ht="20.25" customHeight="1">
      <c r="G173" s="10"/>
      <c r="H173" s="124" t="str">
        <f t="shared" si="2"/>
        <v/>
      </c>
      <c r="I173" s="10"/>
      <c r="J173" s="10" t="str">
        <f>IFERROR(IF(I173="ND","ND",XiuYue((((I173-基础页!$B$24)*基础页!$B$15/C173)),3,-1,9999)),"")</f>
        <v/>
      </c>
    </row>
    <row r="174" spans="7:10" ht="20.25" customHeight="1">
      <c r="G174" s="10"/>
      <c r="H174" s="124" t="str">
        <f t="shared" si="2"/>
        <v/>
      </c>
      <c r="I174" s="10"/>
      <c r="J174" s="10" t="str">
        <f>IFERROR(IF(I174="ND","ND",XiuYue((((I174-基础页!$B$24)*基础页!$B$15/C174)),3,-1,9999)),"")</f>
        <v/>
      </c>
    </row>
    <row r="175" spans="7:10" ht="20.25" customHeight="1">
      <c r="G175" s="10"/>
      <c r="H175" s="124" t="str">
        <f t="shared" si="2"/>
        <v/>
      </c>
      <c r="I175" s="10"/>
      <c r="J175" s="10" t="str">
        <f>IFERROR(IF(I175="ND","ND",XiuYue((((I175-基础页!$B$24)*基础页!$B$15/C175)),3,-1,9999)),"")</f>
        <v/>
      </c>
    </row>
    <row r="176" spans="7:10" ht="20.25" customHeight="1">
      <c r="G176" s="10"/>
      <c r="H176" s="124" t="str">
        <f t="shared" si="2"/>
        <v/>
      </c>
      <c r="I176" s="10"/>
      <c r="J176" s="10" t="str">
        <f>IFERROR(IF(I176="ND","ND",XiuYue((((I176-基础页!$B$24)*基础页!$B$15/C176)),3,-1,9999)),"")</f>
        <v/>
      </c>
    </row>
    <row r="177" spans="7:10" ht="20.25" customHeight="1">
      <c r="G177" s="10"/>
      <c r="H177" s="124" t="str">
        <f t="shared" si="2"/>
        <v/>
      </c>
      <c r="I177" s="10"/>
      <c r="J177" s="10" t="str">
        <f>IFERROR(IF(I177="ND","ND",XiuYue((((I177-基础页!$B$24)*基础页!$B$15/C177)),3,-1,9999)),"")</f>
        <v/>
      </c>
    </row>
    <row r="178" spans="7:10" ht="20.25" customHeight="1">
      <c r="G178" s="10"/>
      <c r="H178" s="124" t="str">
        <f t="shared" si="2"/>
        <v/>
      </c>
      <c r="I178" s="10"/>
      <c r="J178" s="10" t="str">
        <f>IFERROR(IF(I178="ND","ND",XiuYue((((I178-基础页!$B$24)*基础页!$B$15/C178)),3,-1,9999)),"")</f>
        <v/>
      </c>
    </row>
    <row r="179" spans="7:10" ht="20.25" customHeight="1">
      <c r="G179" s="10"/>
      <c r="H179" s="124" t="str">
        <f t="shared" si="2"/>
        <v/>
      </c>
      <c r="I179" s="10"/>
      <c r="J179" s="10" t="str">
        <f>IFERROR(IF(I179="ND","ND",XiuYue((((I179-基础页!$B$24)*基础页!$B$15/C179)),3,-1,9999)),"")</f>
        <v/>
      </c>
    </row>
    <row r="180" spans="7:10" ht="20.25" customHeight="1">
      <c r="G180" s="10"/>
      <c r="H180" s="124" t="str">
        <f t="shared" si="2"/>
        <v/>
      </c>
      <c r="I180" s="10"/>
      <c r="J180" s="10" t="str">
        <f>IFERROR(IF(I180="ND","ND",XiuYue((((I180-基础页!$B$24)*基础页!$B$15/C180)),3,-1,9999)),"")</f>
        <v/>
      </c>
    </row>
    <row r="181" spans="7:10" ht="20.25" customHeight="1">
      <c r="G181" s="10"/>
      <c r="H181" s="124" t="str">
        <f t="shared" si="2"/>
        <v/>
      </c>
      <c r="I181" s="10"/>
      <c r="J181" s="10" t="str">
        <f>IFERROR(IF(I181="ND","ND",XiuYue((((I181-基础页!$B$24)*基础页!$B$15/C181)),3,-1,9999)),"")</f>
        <v/>
      </c>
    </row>
    <row r="182" spans="7:10" ht="20.25" customHeight="1">
      <c r="G182" s="10"/>
      <c r="H182" s="124" t="str">
        <f t="shared" si="2"/>
        <v/>
      </c>
      <c r="I182" s="10"/>
      <c r="J182" s="10" t="str">
        <f>IFERROR(IF(I182="ND","ND",XiuYue((((I182-基础页!$B$24)*基础页!$B$15/C182)),3,-1,9999)),"")</f>
        <v/>
      </c>
    </row>
    <row r="183" spans="7:10" ht="20.25" customHeight="1">
      <c r="G183" s="10"/>
      <c r="H183" s="124" t="str">
        <f t="shared" si="2"/>
        <v/>
      </c>
      <c r="I183" s="10"/>
      <c r="J183" s="10" t="str">
        <f>IFERROR(IF(I183="ND","ND",XiuYue((((I183-基础页!$B$24)*基础页!$B$15/C183)),3,-1,9999)),"")</f>
        <v/>
      </c>
    </row>
    <row r="184" spans="7:10" ht="20.25" customHeight="1">
      <c r="G184" s="10"/>
      <c r="H184" s="124" t="str">
        <f t="shared" si="2"/>
        <v/>
      </c>
      <c r="I184" s="10"/>
      <c r="J184" s="10" t="str">
        <f>IFERROR(IF(I184="ND","ND",XiuYue((((I184-基础页!$B$24)*基础页!$B$15/C184)),3,-1,9999)),"")</f>
        <v/>
      </c>
    </row>
    <row r="185" spans="7:10" ht="20.25" customHeight="1">
      <c r="G185" s="10"/>
      <c r="H185" s="124" t="str">
        <f t="shared" si="2"/>
        <v/>
      </c>
      <c r="I185" s="10"/>
      <c r="J185" s="10" t="str">
        <f>IFERROR(IF(I185="ND","ND",XiuYue((((I185-基础页!$B$24)*基础页!$B$15/C185)),3,-1,9999)),"")</f>
        <v/>
      </c>
    </row>
    <row r="186" spans="7:10" ht="20.25" customHeight="1">
      <c r="G186" s="10"/>
      <c r="H186" s="124" t="str">
        <f t="shared" si="2"/>
        <v/>
      </c>
      <c r="I186" s="10"/>
      <c r="J186" s="10" t="str">
        <f>IFERROR(IF(I186="ND","ND",XiuYue((((I186-基础页!$B$24)*基础页!$B$15/C186)),3,-1,9999)),"")</f>
        <v/>
      </c>
    </row>
    <row r="187" spans="7:10" ht="20.25" customHeight="1">
      <c r="G187" s="10"/>
      <c r="H187" s="124" t="str">
        <f t="shared" si="2"/>
        <v/>
      </c>
      <c r="I187" s="10"/>
      <c r="J187" s="10" t="str">
        <f>IFERROR(IF(I187="ND","ND",XiuYue((((I187-基础页!$B$24)*基础页!$B$15/C187)),3,-1,9999)),"")</f>
        <v/>
      </c>
    </row>
    <row r="188" spans="7:10" ht="20.25" customHeight="1">
      <c r="G188" s="10"/>
      <c r="H188" s="124" t="str">
        <f t="shared" si="2"/>
        <v/>
      </c>
      <c r="I188" s="10"/>
      <c r="J188" s="10" t="str">
        <f>IFERROR(IF(I188="ND","ND",XiuYue((((I188-基础页!$B$24)*基础页!$B$15/C188)),3,-1,9999)),"")</f>
        <v/>
      </c>
    </row>
    <row r="189" spans="7:10" ht="20.25" customHeight="1">
      <c r="G189" s="10"/>
      <c r="H189" s="124" t="str">
        <f t="shared" si="2"/>
        <v/>
      </c>
      <c r="I189" s="10"/>
      <c r="J189" s="10" t="str">
        <f>IFERROR(IF(I189="ND","ND",XiuYue((((I189-基础页!$B$24)*基础页!$B$15/C189)),3,-1,9999)),"")</f>
        <v/>
      </c>
    </row>
    <row r="190" spans="7:10" ht="20.25" customHeight="1">
      <c r="G190" s="10"/>
      <c r="H190" s="124" t="str">
        <f t="shared" si="2"/>
        <v/>
      </c>
      <c r="I190" s="10"/>
      <c r="J190" s="10" t="str">
        <f>IFERROR(IF(I190="ND","ND",XiuYue((((I190-基础页!$B$24)*基础页!$B$15/C190)),3,-1,9999)),"")</f>
        <v/>
      </c>
    </row>
    <row r="191" spans="7:10" ht="20.25" customHeight="1">
      <c r="G191" s="10"/>
      <c r="H191" s="124" t="str">
        <f t="shared" si="2"/>
        <v/>
      </c>
      <c r="I191" s="10"/>
      <c r="J191" s="10" t="str">
        <f>IFERROR(IF(I191="ND","ND",XiuYue((((I191-基础页!$B$24)*基础页!$B$15/C191)),3,-1,9999)),"")</f>
        <v/>
      </c>
    </row>
    <row r="192" spans="7:10" ht="20.25" customHeight="1">
      <c r="G192" s="10"/>
      <c r="H192" s="124" t="str">
        <f t="shared" si="2"/>
        <v/>
      </c>
      <c r="I192" s="10"/>
      <c r="J192" s="10" t="str">
        <f>IFERROR(IF(I192="ND","ND",XiuYue((((I192-基础页!$B$24)*基础页!$B$15/C192)),3,-1,9999)),"")</f>
        <v/>
      </c>
    </row>
    <row r="193" spans="7:10" ht="20.25" customHeight="1">
      <c r="G193" s="10"/>
      <c r="H193" s="124" t="str">
        <f t="shared" si="2"/>
        <v/>
      </c>
      <c r="I193" s="10"/>
      <c r="J193" s="10" t="str">
        <f>IFERROR(IF(I193="ND","ND",XiuYue((((I193-基础页!$B$24)*基础页!$B$15/C193)),3,-1,9999)),"")</f>
        <v/>
      </c>
    </row>
    <row r="194" spans="7:10" ht="20.25" customHeight="1">
      <c r="G194" s="10"/>
      <c r="H194" s="124" t="str">
        <f t="shared" si="2"/>
        <v/>
      </c>
      <c r="I194" s="10"/>
      <c r="J194" s="10" t="str">
        <f>IFERROR(IF(I194="ND","ND",XiuYue((((I194-基础页!$B$24)*基础页!$B$15/C194)),3,-1,9999)),"")</f>
        <v/>
      </c>
    </row>
    <row r="195" spans="7:10" ht="20.25" customHeight="1">
      <c r="G195" s="10"/>
      <c r="H195" s="124" t="str">
        <f t="shared" si="2"/>
        <v/>
      </c>
      <c r="I195" s="10"/>
      <c r="J195" s="10" t="str">
        <f>IFERROR(IF(I195="ND","ND",XiuYue((((I195-基础页!$B$24)*基础页!$B$15/C195)),3,-1,9999)),"")</f>
        <v/>
      </c>
    </row>
    <row r="196" spans="7:10" ht="20.25" customHeight="1">
      <c r="G196" s="10"/>
      <c r="H196" s="124" t="str">
        <f t="shared" si="2"/>
        <v/>
      </c>
      <c r="I196" s="10"/>
      <c r="J196" s="10" t="str">
        <f>IFERROR(IF(I196="ND","ND",XiuYue((((I196-基础页!$B$24)*基础页!$B$15/C196)),3,-1,9999)),"")</f>
        <v/>
      </c>
    </row>
    <row r="197" spans="7:10" ht="20.25" customHeight="1">
      <c r="H197" s="124" t="str">
        <f t="shared" si="2"/>
        <v/>
      </c>
      <c r="J197" s="13" t="str">
        <f>IFERROR(IF(I197="ND","ND",XiuYue((((I197-基础页!$B$24)*基础页!$B$15/C197)),3,-1,9999)),"")</f>
        <v/>
      </c>
    </row>
    <row r="198" spans="7:10" ht="20.25" customHeight="1">
      <c r="H198" s="124" t="str">
        <f t="shared" ref="H198:H229" si="3">IFERROR(IF(ISBLANK(I198),"",IF(J198="ND","否","是")),"")</f>
        <v/>
      </c>
      <c r="J198" s="13" t="str">
        <f>IFERROR(IF(I198="ND","ND",XiuYue((((I198-基础页!$B$24)*基础页!$B$15/C198)),3,-1,9999)),"")</f>
        <v/>
      </c>
    </row>
    <row r="199" spans="7:10" ht="20.25" customHeight="1">
      <c r="H199" s="124" t="str">
        <f t="shared" si="3"/>
        <v/>
      </c>
      <c r="J199" s="13" t="str">
        <f>IFERROR(IF(I199="ND","ND",XiuYue((((I199-基础页!$B$24)*基础页!$B$15/C199)),3,-1,9999)),"")</f>
        <v/>
      </c>
    </row>
    <row r="200" spans="7:10" ht="20.25" customHeight="1">
      <c r="H200" s="124" t="str">
        <f t="shared" si="3"/>
        <v/>
      </c>
      <c r="J200" s="13" t="str">
        <f>IFERROR(IF(I200="ND","ND",XiuYue((((I200-基础页!$B$24)*基础页!$B$15/C200)),3,-1,9999)),"")</f>
        <v/>
      </c>
    </row>
    <row r="201" spans="7:10" ht="20.25" customHeight="1">
      <c r="H201" s="124" t="str">
        <f t="shared" si="3"/>
        <v/>
      </c>
      <c r="J201" s="13" t="str">
        <f>IFERROR(IF(I201="ND","ND",XiuYue((((I201-基础页!$B$24)*基础页!$B$15/C201)),3,-1,9999)),"")</f>
        <v/>
      </c>
    </row>
    <row r="202" spans="7:10" ht="20.25" customHeight="1">
      <c r="H202" s="124" t="str">
        <f t="shared" si="3"/>
        <v/>
      </c>
      <c r="J202" s="13" t="str">
        <f>IFERROR(IF(I202="ND","ND",XiuYue((((I202-基础页!$B$24)*基础页!$B$15/C202)),3,-1,9999)),"")</f>
        <v/>
      </c>
    </row>
    <row r="203" spans="7:10" ht="20.25" customHeight="1">
      <c r="H203" s="124" t="str">
        <f t="shared" si="3"/>
        <v/>
      </c>
      <c r="J203" s="13" t="str">
        <f>IFERROR(IF(I203="ND","ND",XiuYue((((I203-基础页!$B$24)*基础页!$B$15/C203)),3,-1,9999)),"")</f>
        <v/>
      </c>
    </row>
    <row r="204" spans="7:10" ht="20.25" customHeight="1">
      <c r="H204" s="124" t="str">
        <f t="shared" si="3"/>
        <v/>
      </c>
      <c r="J204" s="13" t="str">
        <f>IFERROR(IF(I204="ND","ND",XiuYue((((I204-基础页!$B$24)*基础页!$B$15/C204)),3,-1,9999)),"")</f>
        <v/>
      </c>
    </row>
    <row r="205" spans="7:10" ht="20.25" customHeight="1">
      <c r="H205" s="124" t="str">
        <f t="shared" si="3"/>
        <v/>
      </c>
      <c r="J205" s="13" t="str">
        <f>IFERROR(IF(I205="ND","ND",XiuYue((((I205-基础页!$B$24)*基础页!$B$15/C205)),3,-1,9999)),"")</f>
        <v/>
      </c>
    </row>
    <row r="206" spans="7:10" ht="20.25" customHeight="1">
      <c r="H206" s="124" t="str">
        <f t="shared" si="3"/>
        <v/>
      </c>
      <c r="J206" s="13" t="str">
        <f>IFERROR(IF(I206="ND","ND",XiuYue((((I206-基础页!$B$24)*基础页!$B$15/C206)),3,-1,9999)),"")</f>
        <v/>
      </c>
    </row>
    <row r="207" spans="7:10" ht="20.25" customHeight="1">
      <c r="H207" s="124" t="str">
        <f t="shared" si="3"/>
        <v/>
      </c>
      <c r="J207" s="13" t="str">
        <f>IFERROR(IF(I207="ND","ND",XiuYue((((I207-基础页!$B$24)*基础页!$B$15/C207)),3,-1,9999)),"")</f>
        <v/>
      </c>
    </row>
    <row r="208" spans="7:10" ht="20.25" customHeight="1">
      <c r="H208" s="124" t="str">
        <f t="shared" si="3"/>
        <v/>
      </c>
      <c r="J208" s="13" t="str">
        <f>IFERROR(IF(I208="ND","ND",XiuYue((((I208-基础页!$B$24)*基础页!$B$15/C208)),3,-1,9999)),"")</f>
        <v/>
      </c>
    </row>
    <row r="209" spans="8:10" ht="20.25" customHeight="1">
      <c r="H209" s="124" t="str">
        <f t="shared" si="3"/>
        <v/>
      </c>
      <c r="J209" s="13" t="str">
        <f>IFERROR(IF(I209="ND","ND",XiuYue((((I209-基础页!$B$24)*基础页!$B$15/C209)),3,-1,9999)),"")</f>
        <v/>
      </c>
    </row>
    <row r="210" spans="8:10" ht="20.25" customHeight="1">
      <c r="H210" s="124" t="str">
        <f t="shared" si="3"/>
        <v/>
      </c>
      <c r="J210" s="13" t="str">
        <f>IFERROR(IF(I210="ND","ND",XiuYue((((I210-基础页!$B$24)*基础页!$B$15/C210)),3,-1,9999)),"")</f>
        <v/>
      </c>
    </row>
    <row r="211" spans="8:10" ht="20.25" customHeight="1">
      <c r="H211" s="124" t="str">
        <f t="shared" si="3"/>
        <v/>
      </c>
      <c r="J211" s="13" t="str">
        <f>IFERROR(IF(I211="ND","ND",XiuYue((((I211-基础页!$B$24)*基础页!$B$15/C211)),3,-1,9999)),"")</f>
        <v/>
      </c>
    </row>
    <row r="212" spans="8:10" ht="20.25" customHeight="1">
      <c r="H212" s="124" t="str">
        <f t="shared" si="3"/>
        <v/>
      </c>
      <c r="J212" s="13" t="str">
        <f>IFERROR(IF(I212="ND","ND",XiuYue((((I212-基础页!$B$24)*基础页!$B$15/C212)),3,-1,9999)),"")</f>
        <v/>
      </c>
    </row>
    <row r="213" spans="8:10" ht="20.25" customHeight="1">
      <c r="H213" s="124" t="str">
        <f t="shared" si="3"/>
        <v/>
      </c>
      <c r="J213" s="13" t="str">
        <f>IFERROR(IF(I213="ND","ND",XiuYue((((I213-基础页!$B$24)*基础页!$B$15/C213)),3,-1,9999)),"")</f>
        <v/>
      </c>
    </row>
    <row r="214" spans="8:10" ht="20.25" customHeight="1">
      <c r="H214" s="124" t="str">
        <f t="shared" si="3"/>
        <v/>
      </c>
      <c r="J214" s="13" t="str">
        <f>IFERROR(IF(I214="ND","ND",XiuYue((((I214-基础页!$B$24)*基础页!$B$15/C214)),3,-1,9999)),"")</f>
        <v/>
      </c>
    </row>
    <row r="215" spans="8:10" ht="20.25" customHeight="1">
      <c r="H215" s="124" t="str">
        <f t="shared" si="3"/>
        <v/>
      </c>
      <c r="J215" s="13" t="str">
        <f>IFERROR(IF(I215="ND","ND",XiuYue((((I215-基础页!$B$24)*基础页!$B$15/C215)),3,-1,9999)),"")</f>
        <v/>
      </c>
    </row>
    <row r="216" spans="8:10" ht="20.25" customHeight="1">
      <c r="H216" s="124" t="str">
        <f t="shared" si="3"/>
        <v/>
      </c>
      <c r="J216" s="13" t="str">
        <f>IFERROR(IF(I216="ND","ND",XiuYue((((I216-基础页!$B$24)*基础页!$B$15/C216)),3,-1,9999)),"")</f>
        <v/>
      </c>
    </row>
    <row r="217" spans="8:10" ht="20.25" customHeight="1">
      <c r="H217" s="124" t="str">
        <f t="shared" si="3"/>
        <v/>
      </c>
      <c r="J217" s="13" t="str">
        <f>IFERROR(IF(I217="ND","ND",XiuYue((((I217-基础页!$B$24)*基础页!$B$15/C217)),3,-1,9999)),"")</f>
        <v/>
      </c>
    </row>
    <row r="218" spans="8:10" ht="20.25" customHeight="1">
      <c r="H218" s="124" t="str">
        <f t="shared" si="3"/>
        <v/>
      </c>
      <c r="J218" s="13" t="str">
        <f>IFERROR(IF(I218="ND","ND",XiuYue((((I218-基础页!$B$24)*基础页!$B$15/C218)),3,-1,9999)),"")</f>
        <v/>
      </c>
    </row>
    <row r="219" spans="8:10" ht="20.25" customHeight="1">
      <c r="H219" s="124" t="str">
        <f t="shared" si="3"/>
        <v/>
      </c>
      <c r="J219" s="13" t="str">
        <f>IFERROR(IF(I219="ND","ND",XiuYue((((I219-基础页!$B$24)*基础页!$B$15/C219)),3,-1,9999)),"")</f>
        <v/>
      </c>
    </row>
    <row r="220" spans="8:10" ht="20.25" customHeight="1">
      <c r="H220" s="124" t="str">
        <f t="shared" si="3"/>
        <v/>
      </c>
      <c r="J220" s="13" t="str">
        <f>IFERROR(IF(I220="ND","ND",XiuYue((((I220-基础页!$B$24)*基础页!$B$15/C220)),3,-1,9999)),"")</f>
        <v/>
      </c>
    </row>
    <row r="221" spans="8:10" ht="20.25" customHeight="1">
      <c r="H221" s="124" t="str">
        <f t="shared" si="3"/>
        <v/>
      </c>
      <c r="J221" s="13" t="str">
        <f>IFERROR(IF(I221="ND","ND",XiuYue((((I221-基础页!$B$24)*基础页!$B$15/C221)),3,-1,9999)),"")</f>
        <v/>
      </c>
    </row>
    <row r="222" spans="8:10" ht="20.25" customHeight="1">
      <c r="H222" s="124" t="str">
        <f t="shared" si="3"/>
        <v/>
      </c>
      <c r="J222" s="13" t="str">
        <f>IFERROR(IF(I222="ND","ND",XiuYue((((I222-基础页!$B$24)*基础页!$B$15/C222)),3,-1,9999)),"")</f>
        <v/>
      </c>
    </row>
    <row r="223" spans="8:10" ht="20.25" customHeight="1">
      <c r="H223" s="124" t="str">
        <f t="shared" si="3"/>
        <v/>
      </c>
      <c r="J223" s="13" t="str">
        <f>IFERROR(IF(I223="ND","ND",XiuYue((((I223-基础页!$B$24)*基础页!$B$15/C223)),3,-1,9999)),"")</f>
        <v/>
      </c>
    </row>
    <row r="224" spans="8:10" ht="20.25" customHeight="1">
      <c r="H224" s="124" t="str">
        <f t="shared" si="3"/>
        <v/>
      </c>
      <c r="J224" s="13" t="str">
        <f>IFERROR(IF(I224="ND","ND",XiuYue((((I224-基础页!$B$24)*基础页!$B$15/C224)),3,-1,9999)),"")</f>
        <v/>
      </c>
    </row>
    <row r="225" spans="8:10" ht="20.25" customHeight="1">
      <c r="H225" s="124" t="str">
        <f t="shared" si="3"/>
        <v/>
      </c>
      <c r="J225" s="13" t="str">
        <f>IFERROR(IF(I225="ND","ND",XiuYue((((I225-基础页!$B$24)*基础页!$B$15/C225)),3,-1,9999)),"")</f>
        <v/>
      </c>
    </row>
    <row r="226" spans="8:10" ht="20.25" customHeight="1">
      <c r="H226" s="124" t="str">
        <f t="shared" si="3"/>
        <v/>
      </c>
      <c r="J226" s="13" t="str">
        <f>IFERROR(IF(I226="ND","ND",XiuYue((((I226-基础页!$B$24)*基础页!$B$15/C226)),3,-1,9999)),"")</f>
        <v/>
      </c>
    </row>
    <row r="227" spans="8:10" ht="20.25" customHeight="1">
      <c r="H227" s="124" t="str">
        <f t="shared" si="3"/>
        <v/>
      </c>
      <c r="J227" s="13" t="str">
        <f>IFERROR(IF(I227="ND","ND",XiuYue((((I227-基础页!$B$24)*基础页!$B$15/C227)),3,-1,9999)),"")</f>
        <v/>
      </c>
    </row>
    <row r="228" spans="8:10" ht="20.25" customHeight="1">
      <c r="H228" s="124" t="str">
        <f t="shared" si="3"/>
        <v/>
      </c>
      <c r="J228" s="13" t="str">
        <f>IFERROR(IF(I228="ND","ND",XiuYue((((I228-基础页!$B$24)*基础页!$B$15/C228)),3,-1,9999)),"")</f>
        <v/>
      </c>
    </row>
    <row r="229" spans="8:10" ht="20.25" customHeight="1">
      <c r="H229" s="124" t="str">
        <f t="shared" si="3"/>
        <v/>
      </c>
      <c r="J229" s="13" t="str">
        <f>IFERROR(IF(I229="ND","ND",XiuYue((((I229-基础页!$B$24)*基础页!$B$15/C229)),3,-1,9999)),"")</f>
        <v/>
      </c>
    </row>
    <row r="230" spans="8:10" ht="20.25" customHeight="1">
      <c r="J230" s="13" t="str">
        <f>IFERROR(IF(I230="ND","ND",XiuYue((((I230-基础页!$B$24)*基础页!$B$15/C230)),3,-1,9999)),"")</f>
        <v/>
      </c>
    </row>
    <row r="231" spans="8:10" ht="20.25" customHeight="1">
      <c r="J231" s="13" t="str">
        <f>IFERROR(IF(I231="ND","ND",XiuYue((((I231-基础页!$B$24)*基础页!$B$15/C231)),3,-1,9999)),"")</f>
        <v/>
      </c>
    </row>
    <row r="232" spans="8:10" ht="20.25" customHeight="1">
      <c r="J232" s="13" t="str">
        <f>IFERROR(IF(I232="ND","ND",XiuYue((((I232-基础页!$B$24)*基础页!$B$15/C232)),3,-1,9999)),"")</f>
        <v/>
      </c>
    </row>
    <row r="233" spans="8:10" ht="20.25" customHeight="1">
      <c r="J233" s="13" t="str">
        <f>IFERROR(IF(I233="ND","ND",XiuYue((((I233-基础页!$B$24)*基础页!$B$15/C233)),3,-1,9999)),"")</f>
        <v/>
      </c>
    </row>
    <row r="234" spans="8:10" ht="20.25" customHeight="1">
      <c r="J234" s="13" t="str">
        <f>IFERROR(IF(I234="ND","ND",XiuYue((((I234-基础页!$B$24)*基础页!$B$15/C234)),3,-1,9999)),"")</f>
        <v/>
      </c>
    </row>
    <row r="235" spans="8:10" ht="20.25" customHeight="1">
      <c r="J235" s="13" t="str">
        <f>IFERROR(IF(I235="ND","ND",XiuYue((((I235-基础页!$B$24)*基础页!$B$15/C235)),3,-1,9999)),"")</f>
        <v/>
      </c>
    </row>
    <row r="236" spans="8:10" ht="20.25" customHeight="1"/>
    <row r="237" spans="8:10" ht="20.25" customHeight="1"/>
    <row r="238" spans="8:10" ht="20.25" customHeight="1"/>
    <row r="239" spans="8:10" ht="20.25" customHeight="1"/>
    <row r="240" spans="8:10" ht="20.25" customHeight="1"/>
    <row r="241" ht="20.25" customHeight="1"/>
    <row r="242" ht="20.25" customHeight="1"/>
    <row r="243" ht="20.25" customHeight="1"/>
    <row r="244" ht="20.25" customHeight="1"/>
    <row r="245" ht="20.25" customHeight="1"/>
    <row r="246" ht="20.25" customHeight="1"/>
    <row r="247" ht="20.25" customHeight="1"/>
    <row r="248" ht="20.25" customHeight="1"/>
    <row r="249" ht="20.25" customHeight="1"/>
    <row r="250" ht="20.25" customHeight="1"/>
    <row r="251" ht="20.25" customHeight="1"/>
    <row r="252" ht="20.25" customHeight="1"/>
    <row r="253" ht="20.25" customHeight="1"/>
    <row r="254" ht="20.25" customHeight="1"/>
    <row r="255" ht="20.25" customHeight="1"/>
    <row r="256" ht="20.25" customHeight="1"/>
    <row r="257" ht="20.25" customHeight="1"/>
    <row r="258" ht="20.25" customHeight="1"/>
    <row r="259" ht="20.25" customHeight="1"/>
    <row r="260" ht="20.25" customHeight="1"/>
    <row r="261" ht="20.25" customHeight="1"/>
    <row r="262" ht="20.25" customHeight="1"/>
    <row r="263" ht="20.25" customHeight="1"/>
    <row r="264" ht="20.25" customHeight="1"/>
    <row r="265" ht="20.25" customHeight="1"/>
    <row r="266" ht="20.25" customHeight="1"/>
    <row r="267" ht="20.25" customHeight="1"/>
    <row r="268" ht="20.25" customHeight="1"/>
    <row r="269" ht="20.25" customHeight="1"/>
    <row r="270" ht="20.25" customHeight="1"/>
    <row r="271" ht="20.25" customHeight="1"/>
    <row r="272" ht="20.25" customHeight="1"/>
    <row r="273" ht="20.25" customHeight="1"/>
    <row r="274" ht="20.25" customHeight="1"/>
    <row r="275" ht="20.25" customHeight="1"/>
    <row r="276" ht="20.25" customHeight="1"/>
    <row r="277" ht="20.25" customHeight="1"/>
    <row r="278" ht="20.25" customHeight="1"/>
    <row r="279" ht="20.25" customHeight="1"/>
    <row r="280" ht="20.25" customHeight="1"/>
    <row r="281" ht="20.25" customHeight="1"/>
    <row r="282" ht="20.25" customHeight="1"/>
    <row r="283" ht="20.25" customHeight="1"/>
    <row r="284" ht="20.25" customHeight="1"/>
    <row r="285" ht="20.25" customHeight="1"/>
    <row r="286" ht="20.25" customHeight="1"/>
    <row r="287" ht="20.25" customHeight="1"/>
    <row r="288" ht="20.25" customHeight="1"/>
    <row r="289" ht="20.25" customHeight="1"/>
    <row r="290" ht="20.25" customHeight="1"/>
    <row r="291" ht="20.25" customHeight="1"/>
    <row r="292" ht="20.25" customHeight="1"/>
    <row r="293" ht="20.25" customHeight="1"/>
    <row r="294" ht="20.25" customHeight="1"/>
    <row r="295" ht="20.25" customHeight="1"/>
    <row r="296" ht="20.25" customHeight="1"/>
    <row r="297" ht="20.25" customHeight="1"/>
    <row r="298" ht="20.25" customHeight="1"/>
    <row r="299" ht="20.25" customHeight="1"/>
    <row r="300" ht="20.25" customHeight="1"/>
    <row r="301" ht="20.25" customHeight="1"/>
    <row r="302" ht="20.25" customHeight="1"/>
    <row r="303" ht="20.25" customHeight="1"/>
    <row r="304" ht="20.25" customHeight="1"/>
    <row r="305" ht="20.25" customHeight="1"/>
    <row r="306" ht="20.25" customHeight="1"/>
    <row r="307" ht="20.25" customHeight="1"/>
    <row r="308" ht="20.25" customHeight="1"/>
    <row r="309" ht="20.25" customHeight="1"/>
    <row r="310" ht="20.25" customHeight="1"/>
    <row r="311" ht="20.25" customHeight="1"/>
    <row r="312" ht="20.25" customHeight="1"/>
    <row r="313" ht="20.25" customHeight="1"/>
    <row r="314" ht="20.25" customHeight="1"/>
    <row r="315" ht="20.25" customHeight="1"/>
    <row r="316" ht="20.25" customHeight="1"/>
    <row r="317" ht="20.25" customHeight="1"/>
    <row r="318" ht="20.25" customHeight="1"/>
    <row r="319" ht="20.25" customHeight="1"/>
    <row r="320" ht="20.25" customHeight="1"/>
    <row r="321" ht="20.25" customHeight="1"/>
    <row r="322" ht="20.25" customHeight="1"/>
    <row r="323" ht="20.25" customHeight="1"/>
    <row r="324" ht="20.25" customHeight="1"/>
    <row r="325" ht="20.25" customHeight="1"/>
    <row r="326" ht="20.25" customHeight="1"/>
    <row r="327" ht="20.25" customHeight="1"/>
    <row r="328" ht="20.25" customHeight="1"/>
    <row r="329" ht="20.25" customHeight="1"/>
    <row r="330" ht="20.25" customHeight="1"/>
    <row r="331" ht="20.25" customHeight="1"/>
    <row r="332" ht="20.25" customHeight="1"/>
    <row r="333" ht="20.25" customHeight="1"/>
    <row r="334" ht="20.25" customHeight="1"/>
    <row r="335" ht="20.25" customHeight="1"/>
    <row r="336" ht="20.25" customHeight="1"/>
    <row r="337" ht="20.25" customHeight="1"/>
    <row r="338" ht="20.25" customHeight="1"/>
    <row r="339" ht="20.25" customHeight="1"/>
    <row r="340" ht="20.25" customHeight="1"/>
    <row r="341" ht="20.25" customHeight="1"/>
    <row r="342" ht="20.25" customHeight="1"/>
    <row r="343" ht="20.25" customHeight="1"/>
    <row r="344" ht="20.25" customHeight="1"/>
    <row r="345" ht="20.25" customHeight="1"/>
    <row r="346" ht="20.25" customHeight="1"/>
    <row r="347" ht="20.25" customHeight="1"/>
    <row r="348" ht="20.25" customHeight="1"/>
    <row r="349" ht="20.25" customHeight="1"/>
    <row r="350" ht="20.25" customHeight="1"/>
    <row r="351" ht="20.25" customHeight="1"/>
    <row r="352" ht="20.25" customHeight="1"/>
    <row r="353" ht="20.25" customHeight="1"/>
    <row r="354" ht="20.25" customHeight="1"/>
    <row r="355" ht="20.25" customHeight="1"/>
    <row r="356" ht="20.25" customHeight="1"/>
    <row r="357" ht="20.25" customHeight="1"/>
    <row r="358" ht="20.25" customHeight="1"/>
    <row r="359" ht="20.25" customHeight="1"/>
    <row r="360" ht="20.25" customHeight="1"/>
    <row r="361" ht="20.25" customHeight="1"/>
    <row r="362" ht="20.25" customHeight="1"/>
    <row r="363" ht="20.25" customHeight="1"/>
    <row r="364" ht="20.25" customHeight="1"/>
    <row r="365" ht="20.25" customHeight="1"/>
    <row r="366" ht="20.25" customHeight="1"/>
    <row r="367" ht="20.25" customHeight="1"/>
    <row r="368" ht="20.25" customHeight="1"/>
    <row r="369" ht="20.25" customHeight="1"/>
    <row r="370" ht="20.25" customHeight="1"/>
    <row r="371" ht="20.25" customHeight="1"/>
    <row r="372" ht="20.25" customHeight="1"/>
    <row r="373" ht="20.25" customHeight="1"/>
  </sheetData>
  <mergeCells count="18">
    <mergeCell ref="M3:M4"/>
    <mergeCell ref="N3:N4"/>
    <mergeCell ref="O3:O4"/>
    <mergeCell ref="P2:P4"/>
    <mergeCell ref="A1:K1"/>
    <mergeCell ref="E2:H2"/>
    <mergeCell ref="I2:J2"/>
    <mergeCell ref="K2:O2"/>
    <mergeCell ref="E3:G3"/>
    <mergeCell ref="A2:A4"/>
    <mergeCell ref="B2:B4"/>
    <mergeCell ref="C2:C4"/>
    <mergeCell ref="D2:D4"/>
    <mergeCell ref="H3:H4"/>
    <mergeCell ref="I3:I4"/>
    <mergeCell ref="J3:J4"/>
    <mergeCell ref="K3:K4"/>
    <mergeCell ref="L3:L4"/>
  </mergeCells>
  <phoneticPr fontId="21" type="noConversion"/>
  <pageMargins left="0.69930555555555596" right="0.69930555555555596"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基础页</vt:lpstr>
      <vt:lpstr>分析记录</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Windows 用户</cp:lastModifiedBy>
  <dcterms:created xsi:type="dcterms:W3CDTF">2006-09-16T00:00:00Z</dcterms:created>
  <dcterms:modified xsi:type="dcterms:W3CDTF">2021-10-20T01:32:20Z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2052-10.8.0.6423</vt:lpwstr>
  </property>
</Properties>
</file>