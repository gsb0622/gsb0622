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<sst xmlns="http://schemas.openxmlformats.org/spreadsheetml/2006/main" count="94">
  <si>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</si>
  <si>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</si>
  <si>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</si>
  <si>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</si>
  <si>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</si>
  <si>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</si>
  <si>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</si>
  <si>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</si>
  <si>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</si>
  <si>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</si>
  <si>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</si>
  <si>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</si>
  <si>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</si>
  <si>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</si>
  <si>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</si>
  <si>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</si>
  <si>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</si>
  <si>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</si>
  <si>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</si>
  <si>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</si>
  <si>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</si>
  <si>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</si>
  <si>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</si>
  <si>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</si>
  <si>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农业部1077号公告-1-2008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</si>
  <si>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</si>
  <si>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</si>
  <si>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</si>
  <si>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</si>
  <si>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各单体均为1.0 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</si>
  <si>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</si>
  <si>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</si>
  <si>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各单体均为2.0 </t>
  </si>
  <si>
    <r>
      <rPr>
        <sz val="11"/>
        <color rgb="FFFF0000"/>
        <rFont val="宋体"/>
        <charset val="134"/>
      </rPr>
      <t>为质控模块</t>
    </r>
  </si>
  <si>
    <t>仪器名称编号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</si>
  <si>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</si>
  <si>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</si>
  <si>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</si>
  <si>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</si>
  <si>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</si>
  <si>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</si>
  <si>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</si>
  <si>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</si>
  <si>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</si>
  <si>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A:0.1%HCOOH（含5.0 mmol/L醋酸铵）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</si>
  <si>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</si>
  <si>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5%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10~12min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12~14min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5%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</si>
  <si>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</si>
  <si>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 xml:space="preserve">进样体积(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</si>
  <si>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</si>
  <si>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</si>
  <si>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正离子模式</t>
  </si>
  <si>
    <t>扫描模式</t>
  </si>
  <si>
    <t>MRM</t>
  </si>
  <si>
    <t>定性定量
离子对</t>
  </si>
  <si>
    <r>
      <rPr>
        <sz val="11"/>
        <color theme="1"/>
        <rFont val="微软雅黑"/>
        <charset val="134"/>
      </rPr>
      <t>磺胺嘧啶</t>
    </r>
    <r>
      <rPr>
        <sz val="11"/>
        <color theme="1"/>
        <rFont val="Times New Roman"/>
        <charset val="134"/>
      </rPr>
      <t>:251→156*, 251→108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      </t>
    </r>
    <r>
      <rPr>
        <sz val="11"/>
        <color theme="1"/>
        <rFont val="微软雅黑"/>
        <charset val="134"/>
      </rPr>
      <t>磺胺噻唑</t>
    </r>
    <r>
      <rPr>
        <sz val="11"/>
        <color theme="1"/>
        <rFont val="Times New Roman"/>
        <charset val="134"/>
      </rPr>
      <t>:256→156*, 251→108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磺胺甲基嘧啶</t>
    </r>
    <r>
      <rPr>
        <sz val="11"/>
        <color theme="1"/>
        <rFont val="Times New Roman"/>
        <charset val="134"/>
      </rPr>
      <t>:265→156*, 265→172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</t>
    </r>
    <r>
      <rPr>
        <sz val="11"/>
        <color theme="1"/>
        <rFont val="微软雅黑"/>
        <charset val="134"/>
      </rPr>
      <t>磺胺二甲基嘧啶</t>
    </r>
    <r>
      <rPr>
        <sz val="11"/>
        <color theme="1"/>
        <rFont val="Times New Roman"/>
        <charset val="134"/>
      </rPr>
      <t>:279→186*, 279→156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磺胺甲噻二唑</t>
    </r>
    <r>
      <rPr>
        <sz val="11"/>
        <color theme="1"/>
        <rFont val="Times New Roman"/>
        <charset val="134"/>
      </rPr>
      <t>:271→156*, 271→108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    </t>
    </r>
    <r>
      <rPr>
        <sz val="11"/>
        <color theme="1"/>
        <rFont val="微软雅黑"/>
        <charset val="134"/>
      </rPr>
      <t>磺胺氯哒嗪</t>
    </r>
    <r>
      <rPr>
        <sz val="11"/>
        <color theme="1"/>
        <rFont val="Times New Roman"/>
        <charset val="134"/>
      </rPr>
      <t>:285→156*, 285→108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磺胺间甲氧嘧啶</t>
    </r>
    <r>
      <rPr>
        <sz val="11"/>
        <color theme="1"/>
        <rFont val="Times New Roman"/>
        <charset val="134"/>
      </rPr>
      <t>:281→156*, 281→215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      </t>
    </r>
    <r>
      <rPr>
        <sz val="11"/>
        <color theme="1"/>
        <rFont val="微软雅黑"/>
        <charset val="134"/>
      </rPr>
      <t>磺胺多辛</t>
    </r>
    <r>
      <rPr>
        <sz val="11"/>
        <color theme="1"/>
        <rFont val="Times New Roman"/>
        <charset val="134"/>
      </rPr>
      <t>:311→156*, 311→108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磺胺甲基异噁唑</t>
    </r>
    <r>
      <rPr>
        <sz val="11"/>
        <color theme="1"/>
        <rFont val="Times New Roman"/>
        <charset val="134"/>
      </rPr>
      <t>:254→156*, 254→108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    </t>
    </r>
    <r>
      <rPr>
        <sz val="11"/>
        <color theme="1"/>
        <rFont val="微软雅黑"/>
        <charset val="134"/>
      </rPr>
      <t>磺胺异噁唑</t>
    </r>
    <r>
      <rPr>
        <sz val="11"/>
        <color theme="1"/>
        <rFont val="Times New Roman"/>
        <charset val="134"/>
      </rPr>
      <t>:268→156*, 268→108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磺胺间二甲氧嘧啶</t>
    </r>
    <r>
      <rPr>
        <sz val="11"/>
        <color theme="1"/>
        <rFont val="Times New Roman"/>
        <charset val="134"/>
      </rPr>
      <t>:311→156*, 311→108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        </t>
    </r>
    <r>
      <rPr>
        <sz val="11"/>
        <color theme="1"/>
        <rFont val="微软雅黑"/>
        <charset val="134"/>
      </rPr>
      <t>磺胺喹噁啉</t>
    </r>
    <r>
      <rPr>
        <sz val="11"/>
        <color theme="1"/>
        <rFont val="Times New Roman"/>
        <charset val="134"/>
      </rPr>
      <t>: 301→108*, 301→156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</si>
  <si>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</si>
  <si>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</si>
  <si>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</si>
  <si>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</si>
  <si>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磺胺多辛-D3</t>
  </si>
  <si>
    <t>标准工作液有效期</t>
  </si>
  <si>
    <t>磺胺间二甲氧嘧啶-D6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</si>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</sst>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_ ;[Red]\-0.0\ "/>
    <numFmt numFmtId="177" formatCode="0.0_ "/>
    <numFmt numFmtId="178" formatCode="0.0"/>
    <numFmt numFmtId="179" formatCode="0.000"/>
  </numFmts>
  <fonts count="40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1" fillId="1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33" fillId="27" borderId="22" applyNumberFormat="0" applyAlignment="0" applyProtection="0">
      <alignment vertical="center"/>
    </xf>
    <xf numFmtId="0" fontId="28" fillId="27" borderId="17" applyNumberFormat="0" applyAlignment="0" applyProtection="0">
      <alignment vertical="center"/>
    </xf>
    <xf numFmtId="0" fontId="32" fillId="35" borderId="21" applyNumberForma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4" fillId="0" borderId="0"/>
  </cellStyleXfs>
  <cellXfs count="114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7" xfId="49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3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3" xfId="0" applyNumberFormat="1" applyFont="1" applyFill="1" applyBorder="1" applyAlignment="1" applyProtection="1">
      <alignment horizontal="center" vertical="center"/>
      <protection locked="0"/>
    </xf>
    <xf numFmtId="176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3" xfId="0" applyNumberFormat="1" applyFont="1" applyFill="1" applyBorder="1" applyAlignment="1" applyProtection="1">
      <alignment horizontal="center" vertical="center"/>
      <protection locked="0"/>
    </xf>
    <xf numFmtId="49" fontId="1" fillId="4" borderId="7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3" xfId="0" applyNumberFormat="1" applyFont="1" applyFill="1" applyBorder="1" applyAlignment="1" applyProtection="1">
      <alignment horizontal="right" vertical="center"/>
      <protection locked="0"/>
    </xf>
    <xf numFmtId="49" fontId="1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3" xfId="0" applyNumberFormat="1" applyFont="1" applyFill="1" applyBorder="1" applyAlignment="1" applyProtection="1">
      <alignment horizontal="center" vertical="center"/>
      <protection locked="0"/>
    </xf>
    <xf numFmtId="177" fontId="1" fillId="4" borderId="7" xfId="0" applyNumberFormat="1" applyFont="1" applyFill="1" applyBorder="1" applyAlignment="1" applyProtection="1">
      <alignment horizontal="center" vertical="center"/>
      <protection locked="0"/>
    </xf>
    <xf numFmtId="177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3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2" xfId="0" applyNumberFormat="1" applyFont="1" applyFill="1" applyBorder="1" applyAlignment="1" applyProtection="1">
      <alignment horizontal="center" vertical="center"/>
      <protection locked="0"/>
    </xf>
    <xf numFmtId="2" fontId="1" fillId="4" borderId="3" xfId="0" applyNumberFormat="1" applyFont="1" applyFill="1" applyBorder="1" applyAlignment="1" applyProtection="1">
      <alignment horizontal="center" vertical="center"/>
      <protection locked="0"/>
    </xf>
    <xf numFmtId="2" fontId="1" fillId="4" borderId="7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2" xfId="0" applyNumberFormat="1" applyFont="1" applyFill="1" applyBorder="1" applyAlignment="1" applyProtection="1">
      <alignment horizontal="center" vertical="center"/>
      <protection locked="0"/>
    </xf>
    <xf numFmtId="179" fontId="1" fillId="4" borderId="7" xfId="0" applyNumberFormat="1" applyFont="1" applyFill="1" applyBorder="1" applyAlignment="1" applyProtection="1">
      <alignment horizontal="center" vertical="center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 applyProtection="1">
      <alignment horizontal="left" vertical="top" wrapText="1"/>
      <protection locked="0"/>
    </xf>
    <xf numFmtId="0" fontId="1" fillId="4" borderId="3" xfId="0" applyNumberFormat="1" applyFont="1" applyFill="1" applyBorder="1" applyAlignment="1" applyProtection="1">
      <alignment horizontal="left" vertical="top" wrapText="1"/>
      <protection locked="0"/>
    </xf>
    <xf numFmtId="0" fontId="1" fillId="4" borderId="7" xfId="0" applyNumberFormat="1" applyFont="1" applyFill="1" applyBorder="1" applyAlignment="1" applyProtection="1">
      <alignment horizontal="left" vertical="top" wrapText="1"/>
      <protection locked="0"/>
    </xf>
    <xf numFmtId="49" fontId="5" fillId="7" borderId="4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7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 wrapText="1"/>
    </xf>
    <xf numFmtId="49" fontId="5" fillId="2" borderId="9" xfId="0" applyNumberFormat="1" applyFont="1" applyFill="1" applyBorder="1" applyAlignment="1">
      <alignment horizontal="center" vertical="center" wrapText="1"/>
    </xf>
    <xf numFmtId="49" fontId="5" fillId="4" borderId="10" xfId="0" applyNumberFormat="1" applyFont="1" applyFill="1" applyBorder="1" applyAlignment="1">
      <alignment vertical="center"/>
    </xf>
    <xf numFmtId="49" fontId="5" fillId="4" borderId="6" xfId="0" applyNumberFormat="1" applyFont="1" applyFill="1" applyBorder="1" applyAlignment="1">
      <alignment horizontal="center" vertical="center"/>
    </xf>
    <xf numFmtId="49" fontId="5" fillId="7" borderId="8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center" vertical="center" wrapText="1"/>
    </xf>
    <xf numFmtId="0" fontId="5" fillId="4" borderId="11" xfId="0" applyNumberFormat="1" applyFont="1" applyFill="1" applyBorder="1" applyAlignment="1">
      <alignment horizontal="right" vertical="center" wrapText="1"/>
    </xf>
    <xf numFmtId="49" fontId="5" fillId="4" borderId="2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 applyProtection="1">
      <alignment horizontal="left" vertical="center"/>
      <protection locked="0"/>
    </xf>
    <xf numFmtId="49" fontId="6" fillId="6" borderId="12" xfId="0" applyNumberFormat="1" applyFont="1" applyFill="1" applyBorder="1" applyAlignment="1" applyProtection="1">
      <alignment horizontal="left" vertical="center"/>
      <protection locked="0"/>
    </xf>
    <xf numFmtId="49" fontId="6" fillId="6" borderId="13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7" fillId="8" borderId="0" xfId="0" applyNumberFormat="1" applyFont="1" applyFill="1" applyBorder="1" applyProtection="1"/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Alignment="1" applyProtection="1">
      <alignment horizontal="center"/>
    </xf>
    <xf numFmtId="49" fontId="9" fillId="8" borderId="0" xfId="0" applyNumberFormat="1" applyFont="1" applyFill="1" applyBorder="1" applyProtection="1"/>
    <xf numFmtId="49" fontId="10" fillId="2" borderId="14" xfId="0" applyNumberFormat="1" applyFont="1" applyFill="1" applyBorder="1" applyAlignment="1" applyProtection="1"/>
    <xf numFmtId="49" fontId="1" fillId="2" borderId="14" xfId="0" applyNumberFormat="1" applyFont="1" applyFill="1" applyBorder="1" applyProtection="1"/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195810" y="40798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739110" y="380365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8</xdr:col>
      <xdr:colOff>318247</xdr:colOff>
      <xdr:row>24</xdr:row>
      <xdr:rowOff>259977</xdr:rowOff>
    </xdr:from>
    <xdr:ext cx="65" cy="172227"/>
    <xdr:sp>
      <xdr:nvSpPr>
        <xdr:cNvPr id="4" name="文本框 3"/>
        <xdr:cNvSpPr txBox="1"/>
      </xdr:nvSpPr>
      <xdr:spPr>
        <a:xfrm>
          <a:off x="8532495" y="1163383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T33"/>
  <sheetViews>
    <sheetView tabSelected="1" zoomScale="85" zoomScaleNormal="85" topLeftCell="A4" workbookViewId="0">
      <selection activeCell="B26" sqref="B26:F26"/>
    </sheetView>
  </sheetViews>
  <sheetFormatPr defaultColWidth="9" defaultRowHeight="20.25" customHeight="1"/>
  <cols>
    <col min="1" max="1" width="22.5555555555556" style="24" customWidth="1"/>
    <col min="2" max="2" width="12.8888888888889" style="24" customWidth="1"/>
    <col min="3" max="3" width="21" style="24" customWidth="1"/>
    <col min="4" max="4" width="21.6666666666667" style="24" customWidth="1"/>
    <col min="5" max="5" width="11.7777777777778" style="24" customWidth="1"/>
    <col min="6" max="6" width="19.6666666666667" style="24" customWidth="1"/>
    <col min="7" max="17" width="5.11111111111111" style="2" customWidth="1"/>
    <col min="18" max="18" width="9" style="2"/>
    <col min="19" max="19" width="39.2222222222222" style="2" customWidth="1"/>
    <col min="20" max="16384" width="9" style="2"/>
  </cols>
  <sheetData>
    <row r="1" customHeight="1" spans="1:20">
      <c r="A1" s="25" t="s">
        <v>0</v>
      </c>
      <c r="B1" s="25"/>
      <c r="C1" s="25"/>
      <c r="D1" s="25"/>
      <c r="E1" s="25"/>
      <c r="F1" s="25"/>
      <c r="G1" s="26" t="s">
        <v>1</v>
      </c>
      <c r="H1" s="27"/>
      <c r="I1" s="27"/>
      <c r="J1" s="27"/>
      <c r="K1" s="27"/>
      <c r="L1" s="27"/>
      <c r="M1" s="27"/>
      <c r="N1" s="27"/>
      <c r="O1" s="27"/>
      <c r="P1" s="27"/>
      <c r="Q1" s="109"/>
      <c r="R1" s="110"/>
      <c r="S1" s="111" t="s">
        <v>2</v>
      </c>
      <c r="T1" s="110" t="s">
        <v>3</v>
      </c>
    </row>
    <row r="2" s="1" customFormat="1" ht="21" customHeight="1" spans="1:20">
      <c r="A2" s="28" t="s">
        <v>4</v>
      </c>
      <c r="B2" s="29"/>
      <c r="C2" s="30"/>
      <c r="D2" s="30"/>
      <c r="E2" s="30"/>
      <c r="F2" s="31"/>
      <c r="G2" s="32"/>
      <c r="H2" s="27"/>
      <c r="I2" s="99" t="s">
        <v>5</v>
      </c>
      <c r="J2" s="99"/>
      <c r="K2" s="99"/>
      <c r="L2" s="100"/>
      <c r="M2" s="99" t="s">
        <v>6</v>
      </c>
      <c r="N2" s="99"/>
      <c r="O2" s="99"/>
      <c r="P2" s="27"/>
      <c r="Q2" s="109"/>
      <c r="R2" s="112"/>
      <c r="S2" s="113" t="s">
        <v>7</v>
      </c>
      <c r="T2" s="112" t="s">
        <v>8</v>
      </c>
    </row>
    <row r="3" s="1" customFormat="1" ht="21" customHeight="1" spans="1:20">
      <c r="A3" s="28" t="s">
        <v>9</v>
      </c>
      <c r="B3" s="33"/>
      <c r="C3" s="34"/>
      <c r="D3" s="34"/>
      <c r="E3" s="34"/>
      <c r="F3" s="35"/>
      <c r="G3" s="32"/>
      <c r="H3" s="27"/>
      <c r="I3" s="99"/>
      <c r="J3" s="99"/>
      <c r="K3" s="99"/>
      <c r="L3" s="100"/>
      <c r="M3" s="99"/>
      <c r="N3" s="99"/>
      <c r="O3" s="99"/>
      <c r="P3" s="27"/>
      <c r="Q3" s="109"/>
      <c r="R3" s="112"/>
      <c r="S3" s="113" t="s">
        <v>10</v>
      </c>
      <c r="T3" s="112" t="s">
        <v>11</v>
      </c>
    </row>
    <row r="4" s="1" customFormat="1" ht="21" customHeight="1" spans="1:20">
      <c r="A4" s="28" t="s">
        <v>12</v>
      </c>
      <c r="B4" s="33"/>
      <c r="C4" s="34"/>
      <c r="D4" s="34"/>
      <c r="E4" s="34"/>
      <c r="F4" s="35"/>
      <c r="G4" s="32"/>
      <c r="H4" s="27"/>
      <c r="I4" s="100"/>
      <c r="J4" s="100"/>
      <c r="K4" s="100"/>
      <c r="L4" s="100"/>
      <c r="M4" s="100"/>
      <c r="N4" s="101"/>
      <c r="O4" s="101"/>
      <c r="P4" s="27"/>
      <c r="Q4" s="109"/>
      <c r="R4" s="112"/>
      <c r="S4" s="113" t="s">
        <v>13</v>
      </c>
      <c r="T4" s="112" t="s">
        <v>14</v>
      </c>
    </row>
    <row r="5" s="1" customFormat="1" ht="21" customHeight="1" spans="1:20">
      <c r="A5" s="28" t="s">
        <v>15</v>
      </c>
      <c r="B5" s="36"/>
      <c r="C5" s="37"/>
      <c r="D5" s="34"/>
      <c r="E5" s="34"/>
      <c r="F5" s="35"/>
      <c r="G5" s="32"/>
      <c r="H5" s="27"/>
      <c r="I5" s="99" t="s">
        <v>16</v>
      </c>
      <c r="J5" s="99"/>
      <c r="K5" s="99"/>
      <c r="L5" s="100"/>
      <c r="M5" s="99" t="s">
        <v>17</v>
      </c>
      <c r="N5" s="99"/>
      <c r="O5" s="99"/>
      <c r="P5" s="27"/>
      <c r="Q5" s="109"/>
      <c r="R5" s="112"/>
      <c r="S5" s="107"/>
      <c r="T5" s="107"/>
    </row>
    <row r="6" s="1" customFormat="1" ht="21" customHeight="1" spans="1:17">
      <c r="A6" s="28" t="s">
        <v>18</v>
      </c>
      <c r="B6" s="33"/>
      <c r="C6" s="34"/>
      <c r="D6" s="34"/>
      <c r="E6" s="34"/>
      <c r="F6" s="35"/>
      <c r="G6" s="38"/>
      <c r="H6" s="27"/>
      <c r="I6" s="99"/>
      <c r="J6" s="99"/>
      <c r="K6" s="99"/>
      <c r="L6" s="100"/>
      <c r="M6" s="99"/>
      <c r="N6" s="99"/>
      <c r="O6" s="99"/>
      <c r="P6" s="27"/>
      <c r="Q6" s="109"/>
    </row>
    <row r="7" s="1" customFormat="1" ht="21" customHeight="1" spans="1:17">
      <c r="A7" s="28" t="s">
        <v>19</v>
      </c>
      <c r="B7" s="36" t="s">
        <v>20</v>
      </c>
      <c r="C7" s="37"/>
      <c r="D7" s="37"/>
      <c r="E7" s="37"/>
      <c r="F7" s="39"/>
      <c r="G7" s="38"/>
      <c r="H7" s="27"/>
      <c r="I7" s="99"/>
      <c r="J7" s="99"/>
      <c r="K7" s="99"/>
      <c r="L7" s="100"/>
      <c r="M7" s="99"/>
      <c r="N7" s="99"/>
      <c r="O7" s="99"/>
      <c r="P7" s="27"/>
      <c r="Q7" s="109"/>
    </row>
    <row r="8" s="1" customFormat="1" ht="21.6" customHeight="1" spans="1:17">
      <c r="A8" s="28" t="s">
        <v>21</v>
      </c>
      <c r="B8" s="36" t="s">
        <v>22</v>
      </c>
      <c r="C8" s="37"/>
      <c r="D8" s="37"/>
      <c r="E8" s="37"/>
      <c r="F8" s="39"/>
      <c r="G8" s="38"/>
      <c r="H8" s="27"/>
      <c r="I8" s="102"/>
      <c r="J8" s="102"/>
      <c r="K8" s="102"/>
      <c r="L8" s="103"/>
      <c r="M8" s="102"/>
      <c r="N8" s="102"/>
      <c r="O8" s="102"/>
      <c r="P8" s="27"/>
      <c r="Q8" s="109"/>
    </row>
    <row r="9" s="1" customFormat="1" ht="40" customHeight="1" spans="1:17">
      <c r="A9" s="28" t="s">
        <v>23</v>
      </c>
      <c r="B9" s="40" t="s">
        <v>24</v>
      </c>
      <c r="C9" s="41"/>
      <c r="D9" s="42"/>
      <c r="E9" s="42"/>
      <c r="F9" s="43"/>
      <c r="G9" s="44"/>
      <c r="H9" s="2"/>
      <c r="I9" s="2"/>
      <c r="N9" s="2"/>
      <c r="O9" s="2"/>
      <c r="P9" s="2"/>
      <c r="Q9" s="44"/>
    </row>
    <row r="10" s="1" customFormat="1" ht="20.1" customHeight="1" spans="1:17">
      <c r="A10" s="28" t="s">
        <v>25</v>
      </c>
      <c r="B10" s="45"/>
      <c r="C10" s="45"/>
      <c r="D10" s="46" t="s">
        <v>26</v>
      </c>
      <c r="E10" s="45"/>
      <c r="F10" s="45"/>
      <c r="G10" s="44"/>
      <c r="H10" s="2"/>
      <c r="I10" s="2"/>
      <c r="J10" s="104" t="s">
        <v>27</v>
      </c>
      <c r="K10" s="105"/>
      <c r="L10" s="44"/>
      <c r="M10" s="44"/>
      <c r="N10" s="2"/>
      <c r="O10" s="2"/>
      <c r="P10" s="2"/>
      <c r="Q10" s="44"/>
    </row>
    <row r="11" s="1" customFormat="1" ht="21" customHeight="1" spans="1:17">
      <c r="A11" s="28" t="s">
        <v>28</v>
      </c>
      <c r="B11" s="40" t="s">
        <v>29</v>
      </c>
      <c r="C11" s="41"/>
      <c r="D11" s="47"/>
      <c r="E11" s="47"/>
      <c r="F11" s="48"/>
      <c r="G11" s="44"/>
      <c r="H11" s="44"/>
      <c r="I11" s="2"/>
      <c r="J11" s="106"/>
      <c r="K11" s="107" t="s">
        <v>30</v>
      </c>
      <c r="L11" s="2"/>
      <c r="M11" s="2"/>
      <c r="N11" s="44"/>
      <c r="O11" s="44"/>
      <c r="P11" s="44"/>
      <c r="Q11" s="44"/>
    </row>
    <row r="12" s="1" customFormat="1" ht="21" customHeight="1" spans="1:17">
      <c r="A12" s="28" t="s">
        <v>31</v>
      </c>
      <c r="B12" s="49" t="s">
        <v>32</v>
      </c>
      <c r="C12" s="50"/>
      <c r="D12" s="51"/>
      <c r="E12" s="51"/>
      <c r="F12" s="52"/>
      <c r="G12" s="44"/>
      <c r="H12" s="44"/>
      <c r="I12" s="2"/>
      <c r="J12" s="108"/>
      <c r="K12" s="107" t="s">
        <v>33</v>
      </c>
      <c r="L12" s="2"/>
      <c r="M12" s="2"/>
      <c r="N12" s="44"/>
      <c r="O12" s="44"/>
      <c r="P12" s="44"/>
      <c r="Q12" s="44"/>
    </row>
    <row r="13" s="1" customFormat="1" ht="25.95" customHeight="1" spans="1:17">
      <c r="A13" s="28" t="s">
        <v>34</v>
      </c>
      <c r="B13" s="49" t="s">
        <v>35</v>
      </c>
      <c r="C13" s="50"/>
      <c r="D13" s="51"/>
      <c r="E13" s="51"/>
      <c r="F13" s="52"/>
      <c r="G13" s="44"/>
      <c r="H13" s="44"/>
      <c r="I13" s="2"/>
      <c r="J13" s="44"/>
      <c r="K13" s="107"/>
      <c r="L13" s="2"/>
      <c r="M13" s="2"/>
      <c r="N13" s="44"/>
      <c r="O13" s="44"/>
      <c r="P13" s="44"/>
      <c r="Q13" s="44"/>
    </row>
    <row r="14" ht="25.35" customHeight="1" spans="1:17">
      <c r="A14" s="28" t="s">
        <v>36</v>
      </c>
      <c r="B14" s="53" t="str">
        <f>IFERROR(VLOOKUP(B13,S1:T4,2,),"")</f>
        <v>AB Sciex Triple Quad 5500</v>
      </c>
      <c r="C14" s="54"/>
      <c r="D14" s="51"/>
      <c r="E14" s="51"/>
      <c r="F14" s="52"/>
      <c r="G14" s="44"/>
      <c r="H14" s="44"/>
      <c r="J14" s="44"/>
      <c r="K14" s="107"/>
      <c r="N14" s="44"/>
      <c r="O14" s="44"/>
      <c r="P14" s="44"/>
      <c r="Q14" s="44"/>
    </row>
    <row r="15" ht="23.1" customHeight="1" spans="1:17">
      <c r="A15" s="28" t="s">
        <v>37</v>
      </c>
      <c r="B15" s="49"/>
      <c r="C15" s="50"/>
      <c r="D15" s="50"/>
      <c r="E15" s="50"/>
      <c r="F15" s="55"/>
      <c r="G15" s="56"/>
      <c r="H15" s="56"/>
      <c r="I15" s="23"/>
      <c r="J15" s="44"/>
      <c r="K15" s="23"/>
      <c r="L15" s="23"/>
      <c r="M15" s="56"/>
      <c r="N15" s="56"/>
      <c r="O15" s="56"/>
      <c r="P15" s="56"/>
      <c r="Q15" s="56"/>
    </row>
    <row r="16" ht="44.7" customHeight="1" spans="1:6">
      <c r="A16" s="57" t="s">
        <v>38</v>
      </c>
      <c r="B16" s="58">
        <v>1</v>
      </c>
      <c r="C16" s="59"/>
      <c r="D16" s="59"/>
      <c r="E16" s="59"/>
      <c r="F16" s="60"/>
    </row>
    <row r="17" ht="62.1" customHeight="1" spans="1:6">
      <c r="A17" s="61" t="s">
        <v>39</v>
      </c>
      <c r="B17" s="57" t="s">
        <v>40</v>
      </c>
      <c r="C17" s="62" t="s">
        <v>41</v>
      </c>
      <c r="D17" s="63"/>
      <c r="E17" s="57" t="s">
        <v>42</v>
      </c>
      <c r="F17" s="64">
        <v>30</v>
      </c>
    </row>
    <row r="18" ht="63" customHeight="1" spans="1:6">
      <c r="A18" s="61"/>
      <c r="B18" s="57" t="s">
        <v>43</v>
      </c>
      <c r="C18" s="65" t="s">
        <v>44</v>
      </c>
      <c r="D18" s="66"/>
      <c r="E18" s="57" t="s">
        <v>45</v>
      </c>
      <c r="F18" s="67" t="s">
        <v>46</v>
      </c>
    </row>
    <row r="19" ht="45.9" customHeight="1" spans="1:6">
      <c r="A19" s="61"/>
      <c r="B19" s="57" t="s">
        <v>47</v>
      </c>
      <c r="C19" s="68">
        <v>0.3</v>
      </c>
      <c r="D19" s="69"/>
      <c r="E19" s="57" t="s">
        <v>48</v>
      </c>
      <c r="F19" s="70">
        <v>1</v>
      </c>
    </row>
    <row r="20" ht="90" customHeight="1" spans="1:6">
      <c r="A20" s="71" t="s">
        <v>49</v>
      </c>
      <c r="B20" s="57" t="s">
        <v>50</v>
      </c>
      <c r="C20" s="65" t="s">
        <v>51</v>
      </c>
      <c r="D20" s="66"/>
      <c r="E20" s="57" t="s">
        <v>52</v>
      </c>
      <c r="F20" s="5" t="s">
        <v>53</v>
      </c>
    </row>
    <row r="21" s="23" customFormat="1" ht="114.6" customHeight="1" spans="1:17">
      <c r="A21" s="72"/>
      <c r="B21" s="57" t="s">
        <v>54</v>
      </c>
      <c r="C21" s="73" t="s">
        <v>55</v>
      </c>
      <c r="D21" s="74"/>
      <c r="E21" s="74"/>
      <c r="F21" s="75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="23" customFormat="1" ht="57.6" customHeight="1" spans="1:17">
      <c r="A22" s="76" t="s">
        <v>56</v>
      </c>
      <c r="B22" s="77" t="s">
        <v>57</v>
      </c>
      <c r="C22" s="78"/>
      <c r="D22" s="79"/>
      <c r="E22" s="77" t="s">
        <v>58</v>
      </c>
      <c r="F22" s="80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="23" customFormat="1" ht="30.45" customHeight="1" spans="1:17">
      <c r="A23" s="81"/>
      <c r="B23" s="82" t="s">
        <v>59</v>
      </c>
      <c r="C23" s="77" t="s">
        <v>60</v>
      </c>
      <c r="D23" s="83"/>
      <c r="E23" s="77" t="s">
        <v>61</v>
      </c>
      <c r="F23" s="8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42.9" customHeight="1" spans="1:6">
      <c r="A24" s="85"/>
      <c r="B24" s="86"/>
      <c r="C24" s="77" t="s">
        <v>62</v>
      </c>
      <c r="D24" s="87"/>
      <c r="E24" s="77"/>
      <c r="F24" s="88"/>
    </row>
    <row r="25" ht="26.1" customHeight="1" spans="1:6">
      <c r="A25" s="89" t="s">
        <v>63</v>
      </c>
      <c r="B25" s="90">
        <v>0</v>
      </c>
      <c r="C25" s="91"/>
      <c r="D25" s="91"/>
      <c r="E25" s="91"/>
      <c r="F25" s="92" t="str">
        <f>IF(B25=0,"ND",B25)</f>
        <v>ND</v>
      </c>
    </row>
    <row r="26" ht="26.1" customHeight="1" spans="1:6">
      <c r="A26" s="61" t="s">
        <v>64</v>
      </c>
      <c r="B26" s="93" t="s">
        <v>65</v>
      </c>
      <c r="C26" s="94"/>
      <c r="D26" s="94"/>
      <c r="E26" s="94"/>
      <c r="F26" s="95"/>
    </row>
    <row r="27" ht="22.65" customHeight="1" spans="1:6">
      <c r="A27" s="96" t="s">
        <v>66</v>
      </c>
      <c r="B27" s="97"/>
      <c r="C27" s="97"/>
      <c r="D27" s="97"/>
      <c r="E27" s="97"/>
      <c r="F27" s="98"/>
    </row>
    <row r="28" customHeight="1" spans="1:6">
      <c r="A28" s="61" t="s">
        <v>67</v>
      </c>
      <c r="B28" s="93"/>
      <c r="C28" s="94"/>
      <c r="D28" s="94"/>
      <c r="E28" s="94"/>
      <c r="F28" s="95"/>
    </row>
    <row r="29" customHeight="1" spans="1:6">
      <c r="A29" s="61" t="s">
        <v>68</v>
      </c>
      <c r="B29" s="93"/>
      <c r="C29" s="94"/>
      <c r="D29" s="94"/>
      <c r="E29" s="94"/>
      <c r="F29" s="95"/>
    </row>
    <row r="30" customHeight="1" spans="1:6">
      <c r="A30" s="96" t="s">
        <v>69</v>
      </c>
      <c r="B30" s="97"/>
      <c r="C30" s="97"/>
      <c r="D30" s="97"/>
      <c r="E30" s="97"/>
      <c r="F30" s="98"/>
    </row>
    <row r="31" customHeight="1" spans="1:6">
      <c r="A31" s="28" t="s">
        <v>70</v>
      </c>
      <c r="B31" s="3"/>
      <c r="C31" s="3"/>
      <c r="D31" s="3"/>
      <c r="E31" s="3"/>
      <c r="F31" s="3"/>
    </row>
    <row r="32" customHeight="1" spans="1:6">
      <c r="A32" s="28" t="s">
        <v>71</v>
      </c>
      <c r="B32" s="3"/>
      <c r="C32" s="3"/>
      <c r="D32" s="3"/>
      <c r="E32" s="3"/>
      <c r="F32" s="3"/>
    </row>
    <row r="33" customHeight="1" spans="1:6">
      <c r="A33" s="28" t="s">
        <v>72</v>
      </c>
      <c r="B33" s="3"/>
      <c r="C33" s="3"/>
      <c r="D33" s="3"/>
      <c r="E33" s="3"/>
      <c r="F33" s="3"/>
    </row>
  </sheetData>
  <sheetProtection formatCells="0" formatColumns="0" formatRows="0" sort="0" autoFilter="0" pivotTables="0"/>
  <mergeCells count="42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B11:F11"/>
    <mergeCell ref="B12:F12"/>
    <mergeCell ref="B13:F13"/>
    <mergeCell ref="B14:F14"/>
    <mergeCell ref="B15:F15"/>
    <mergeCell ref="B16:F16"/>
    <mergeCell ref="C17:D17"/>
    <mergeCell ref="C18:D18"/>
    <mergeCell ref="C19:D19"/>
    <mergeCell ref="C20:D20"/>
    <mergeCell ref="C21:F21"/>
    <mergeCell ref="C22:D22"/>
    <mergeCell ref="B25:E25"/>
    <mergeCell ref="B26:F26"/>
    <mergeCell ref="A27:F27"/>
    <mergeCell ref="B28:F28"/>
    <mergeCell ref="B29:F29"/>
    <mergeCell ref="A30:F30"/>
    <mergeCell ref="B31:F31"/>
    <mergeCell ref="B32:F32"/>
    <mergeCell ref="B33:F33"/>
    <mergeCell ref="A17:A19"/>
    <mergeCell ref="A20:A21"/>
    <mergeCell ref="A22:A24"/>
    <mergeCell ref="B23:B24"/>
    <mergeCell ref="E23:E24"/>
    <mergeCell ref="F23:F24"/>
    <mergeCell ref="M2:O3"/>
    <mergeCell ref="I5:K7"/>
    <mergeCell ref="M5:O7"/>
    <mergeCell ref="I2:K3"/>
  </mergeCells>
  <dataValidations count="1">
    <dataValidation type="list" allowBlank="1" showInputMessage="1" sqref="B13:F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zoomScale="85" zoomScaleNormal="85" workbookViewId="0">
      <selection activeCell="Q7" sqref="Q7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3.8888888888889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73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22"/>
    </row>
    <row r="2" s="1" customFormat="1" ht="18.9" customHeight="1" spans="1:35">
      <c r="A2" s="9" t="s">
        <v>74</v>
      </c>
      <c r="B2" s="9" t="s">
        <v>75</v>
      </c>
      <c r="C2" s="9" t="s">
        <v>76</v>
      </c>
      <c r="D2" s="9" t="s">
        <v>15</v>
      </c>
      <c r="E2" s="10" t="s">
        <v>77</v>
      </c>
      <c r="F2" s="11" t="s">
        <v>78</v>
      </c>
      <c r="G2" s="11"/>
      <c r="H2" s="11"/>
      <c r="I2" s="11"/>
      <c r="J2" s="11" t="s">
        <v>79</v>
      </c>
      <c r="K2" s="11"/>
      <c r="L2" s="15" t="s">
        <v>80</v>
      </c>
      <c r="M2" s="15"/>
      <c r="N2" s="15"/>
      <c r="O2" s="15"/>
      <c r="P2" s="15"/>
      <c r="Q2" s="11" t="s">
        <v>81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2"/>
      <c r="B3" s="12"/>
      <c r="C3" s="12"/>
      <c r="D3" s="12"/>
      <c r="E3" s="13"/>
      <c r="F3" s="11" t="s">
        <v>82</v>
      </c>
      <c r="G3" s="11"/>
      <c r="H3" s="11"/>
      <c r="I3" s="16" t="s">
        <v>83</v>
      </c>
      <c r="J3" s="11" t="s">
        <v>84</v>
      </c>
      <c r="K3" s="11" t="s">
        <v>85</v>
      </c>
      <c r="L3" s="15" t="s">
        <v>86</v>
      </c>
      <c r="M3" s="17" t="s">
        <v>87</v>
      </c>
      <c r="N3" s="15" t="s">
        <v>88</v>
      </c>
      <c r="O3" s="15" t="s">
        <v>89</v>
      </c>
      <c r="P3" s="18" t="s">
        <v>90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2"/>
      <c r="B4" s="12"/>
      <c r="C4" s="12"/>
      <c r="D4" s="12"/>
      <c r="E4" s="14"/>
      <c r="F4" s="11" t="s">
        <v>91</v>
      </c>
      <c r="G4" s="11" t="s">
        <v>92</v>
      </c>
      <c r="H4" s="11" t="s">
        <v>93</v>
      </c>
      <c r="I4" s="16"/>
      <c r="J4" s="11"/>
      <c r="K4" s="11"/>
      <c r="L4" s="15"/>
      <c r="M4" s="19"/>
      <c r="N4" s="20"/>
      <c r="O4" s="20"/>
      <c r="P4" s="21"/>
      <c r="Q4" s="1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IFERROR(IF(J5="ND","ND",baoliuxiaoshuwei(((J5-基础页!$B$25)*基础页!$B$16)/E5,2)),"")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IFERROR(IF(J6="ND","ND",baoliuxiaoshuwei(((J6-基础页!$B$25)*基础页!$B$16)/E6,2)),"")</f>
        <v/>
      </c>
    </row>
    <row r="7" ht="20.25" customHeight="1" spans="1:11">
      <c r="A7" s="3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IFERROR(IF(J7="ND","ND",baoliuxiaoshuwei(((J7-基础页!$B$25)*基础页!$B$16)/E7,2)),"")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IFERROR(IF(J8="ND","ND",baoliuxiaoshuwei(((J8-基础页!$B$25)*基础页!$B$16)/E8,2)),"")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IFERROR(IF(J9="ND","ND",baoliuxiaoshuwei(((J9-基础页!$B$25)*基础页!$B$16)/E9,2)),"")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IFERROR(IF(J10="ND","ND",baoliuxiaoshuwei(((J10-基础页!$B$25)*基础页!$B$16)/E10,2)),"")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IFERROR(IF(J11="ND","ND",baoliuxiaoshuwei(((J11-基础页!$B$25)*基础页!$B$16)/E11,2)),"")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IFERROR(IF(J12="ND","ND",baoliuxiaoshuwei(((J12-基础页!$B$25)*基础页!$B$16)/E12,2)),"")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IFERROR(IF(J13="ND","ND",baoliuxiaoshuwei(((J13-基础页!$B$25)*基础页!$B$16)/E13,2)),"")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IFERROR(IF(J14="ND","ND",baoliuxiaoshuwei(((J14-基础页!$B$25)*基础页!$B$16)/E14,2)),"")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IFERROR(IF(J15="ND","ND",baoliuxiaoshuwei(((J15-基础页!$B$25)*基础页!$B$16)/E15,2)),"")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IFERROR(IF(J16="ND","ND",baoliuxiaoshuwei(((J16-基础页!$B$25)*基础页!$B$16)/E16,2)),"")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IFERROR(IF(J17="ND","ND",baoliuxiaoshuwei(((J17-基础页!$B$25)*基础页!$B$16)/E17,2)),"")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IFERROR(IF(J18="ND","ND",baoliuxiaoshuwei(((J18-基础页!$B$25)*基础页!$B$16)/E18,2)),"")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IFERROR(IF(J19="ND","ND",baoliuxiaoshuwei(((J19-基础页!$B$25)*基础页!$B$16)/E19,2)),"")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IFERROR(IF(J20="ND","ND",baoliuxiaoshuwei(((J20-基础页!$B$25)*基础页!$B$16)/E20,2)),"")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IFERROR(IF(J21="ND","ND",baoliuxiaoshuwei(((J21-基础页!$B$25)*基础页!$B$16)/E21,2)),"")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IFERROR(IF(J22="ND","ND",baoliuxiaoshuwei(((J22-基础页!$B$25)*基础页!$B$16)/E22,2)),"")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IFERROR(IF(J23="ND","ND",baoliuxiaoshuwei(((J23-基础页!$B$25)*基础页!$B$16)/E23,2)),"")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IFERROR(IF(J24="ND","ND",baoliuxiaoshuwei(((J24-基础页!$B$25)*基础页!$B$16)/E24,2)),"")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IFERROR(IF(J25="ND","ND",baoliuxiaoshuwei(((J25-基础页!$B$25)*基础页!$B$16)/E25,2)),"")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IFERROR(IF(J26="ND","ND",baoliuxiaoshuwei(((J26-基础页!$B$25)*基础页!$B$16)/E26,2)),"")</f>
        <v/>
      </c>
    </row>
    <row r="27" ht="20.25" customHeight="1" spans="1:11">
      <c r="A27" s="3"/>
      <c r="H27" s="5" t="str">
        <f>IFERROR(baoliuxiaoshuwei((F27-G27)/(F27+G27)*100,0),"")</f>
        <v/>
      </c>
      <c r="I27" s="5" t="str">
        <f t="shared" si="0"/>
        <v/>
      </c>
      <c r="K27" s="5" t="str">
        <f>IFERROR(IF(J27="ND","ND",baoliuxiaoshuwei(((J27-基础页!$B$25)*基础页!$B$16)/E27,2)),"")</f>
        <v/>
      </c>
    </row>
    <row r="28" ht="20.25" customHeight="1" spans="1:11">
      <c r="A28" s="3"/>
      <c r="H28" s="5" t="str">
        <f>IFERROR(baoliuxiaoshuwei((F28-G28)/(F28+G28)*100,0),"")</f>
        <v/>
      </c>
      <c r="I28" s="5" t="str">
        <f t="shared" si="0"/>
        <v/>
      </c>
      <c r="K28" s="5" t="str">
        <f>IFERROR(IF(J28="ND","ND",baoliuxiaoshuwei(((J28-基础页!$B$25)*基础页!$B$16)/E28,2)),"")</f>
        <v/>
      </c>
    </row>
    <row r="29" ht="20.25" customHeight="1" spans="1:11">
      <c r="A29" s="3"/>
      <c r="H29" s="5" t="str">
        <f>IFERROR(baoliuxiaoshuwei((F29-G29)/(F29+G29)*100,0),"")</f>
        <v/>
      </c>
      <c r="I29" s="5" t="str">
        <f t="shared" si="0"/>
        <v/>
      </c>
      <c r="K29" s="5" t="str">
        <f>IFERROR(IF(J29="ND","ND",baoliuxiaoshuwei(((J29-基础页!$B$25)*基础页!$B$16)/E29,2)),"")</f>
        <v/>
      </c>
    </row>
    <row r="30" ht="20.25" customHeight="1" spans="1:11">
      <c r="A30" s="3"/>
      <c r="H30" s="5" t="str">
        <f>IFERROR(baoliuxiaoshuwei((F30-G30)/(F30+G30)*100,0),"")</f>
        <v/>
      </c>
      <c r="I30" s="5" t="str">
        <f t="shared" si="0"/>
        <v/>
      </c>
      <c r="K30" s="5" t="str">
        <f>IFERROR(IF(J30="ND","ND",baoliuxiaoshuwei(((J30-基础页!$B$25)*基础页!$B$16)/E30,2)),"")</f>
        <v/>
      </c>
    </row>
    <row r="31" ht="20.25" customHeight="1" spans="1:11">
      <c r="A31" s="3"/>
      <c r="H31" s="5" t="str">
        <f>IFERROR(baoliuxiaoshuwei((F31-G31)/(F31+G31)*100,0),"")</f>
        <v/>
      </c>
      <c r="I31" s="5" t="str">
        <f t="shared" si="0"/>
        <v/>
      </c>
      <c r="K31" s="5" t="str">
        <f>IFERROR(IF(J31="ND","ND",baoliuxiaoshuwei(((J31-基础页!$B$25)*基础页!$B$16)/E31,2)),"")</f>
        <v/>
      </c>
    </row>
    <row r="32" ht="20.25" customHeight="1" spans="1:11">
      <c r="A32" s="3"/>
      <c r="H32" s="5" t="str">
        <f>IFERROR(baoliuxiaoshuwei((F32-G32)/(F32+G32)*100,0),"")</f>
        <v/>
      </c>
      <c r="I32" s="5" t="str">
        <f t="shared" si="0"/>
        <v/>
      </c>
      <c r="K32" s="5" t="str">
        <f>IFERROR(IF(J32="ND","ND",baoliuxiaoshuwei(((J32-基础页!$B$25)*基础页!$B$16)/E32,2)),"")</f>
        <v/>
      </c>
    </row>
    <row r="33" ht="20.25" customHeight="1" spans="1:11">
      <c r="A33" s="3"/>
      <c r="H33" s="5" t="str">
        <f>IFERROR(baoliuxiaoshuwei((F33-G33)/(F33+G33)*100,0),"")</f>
        <v/>
      </c>
      <c r="I33" s="5" t="str">
        <f t="shared" si="0"/>
        <v/>
      </c>
      <c r="K33" s="5" t="str">
        <f>IFERROR(IF(J33="ND","ND",baoliuxiaoshuwei(((J33-基础页!$B$25)*基础页!$B$16)/E33,2)),"")</f>
        <v/>
      </c>
    </row>
    <row r="34" ht="20.25" customHeight="1" spans="1:11">
      <c r="A34" s="3"/>
      <c r="H34" s="5" t="str">
        <f>IFERROR(baoliuxiaoshuwei((F34-G34)/(F34+G34)*100,0),"")</f>
        <v/>
      </c>
      <c r="I34" s="5" t="str">
        <f t="shared" si="0"/>
        <v/>
      </c>
      <c r="K34" s="5" t="str">
        <f>IFERROR(IF(J34="ND","ND",baoliuxiaoshuwei(((J34-基础页!$B$25)*基础页!$B$16)/E34,2)),"")</f>
        <v/>
      </c>
    </row>
    <row r="35" ht="20.25" customHeight="1" spans="1:11">
      <c r="A35" s="3"/>
      <c r="H35" s="5" t="str">
        <f>IFERROR(baoliuxiaoshuwei((F35-G35)/(F35+G35)*100,0),"")</f>
        <v/>
      </c>
      <c r="I35" s="5" t="str">
        <f t="shared" si="0"/>
        <v/>
      </c>
      <c r="K35" s="5" t="str">
        <f>IFERROR(IF(J35="ND","ND",baoliuxiaoshuwei(((J35-基础页!$B$25)*基础页!$B$16)/E35,2)),"")</f>
        <v/>
      </c>
    </row>
    <row r="36" ht="20.25" customHeight="1" spans="1:11">
      <c r="A36" s="3"/>
      <c r="H36" s="5" t="str">
        <f>IFERROR(baoliuxiaoshuwei((F36-G36)/(F36+G36)*100,0),"")</f>
        <v/>
      </c>
      <c r="I36" s="5" t="str">
        <f t="shared" si="0"/>
        <v/>
      </c>
      <c r="K36" s="5" t="str">
        <f>IFERROR(IF(J36="ND","ND",baoliuxiaoshuwei(((J36-基础页!$B$25)*基础页!$B$16)/E36,2)),"")</f>
        <v/>
      </c>
    </row>
    <row r="37" ht="20.25" customHeight="1" spans="1:11">
      <c r="A37" s="3"/>
      <c r="H37" s="5" t="str">
        <f>IFERROR(baoliuxiaoshuwei((F37-G37)/(F37+G37)*100,0),"")</f>
        <v/>
      </c>
      <c r="I37" s="5" t="str">
        <f t="shared" si="0"/>
        <v/>
      </c>
      <c r="K37" s="5" t="str">
        <f>IFERROR(IF(J37="ND","ND",baoliuxiaoshuwei(((J37-基础页!$B$25)*基础页!$B$16)/E37,2)),"")</f>
        <v/>
      </c>
    </row>
    <row r="38" ht="20.25" customHeight="1" spans="1:11">
      <c r="A38" s="3"/>
      <c r="H38" s="5" t="str">
        <f>IFERROR(baoliuxiaoshuwei((F38-G38)/(F38+G38)*100,0),"")</f>
        <v/>
      </c>
      <c r="I38" s="5" t="str">
        <f t="shared" si="0"/>
        <v/>
      </c>
      <c r="K38" s="5" t="str">
        <f>IFERROR(IF(J38="ND","ND",baoliuxiaoshuwei(((J38-基础页!$B$25)*基础页!$B$16)/E38,2)),"")</f>
        <v/>
      </c>
    </row>
    <row r="39" ht="20.25" customHeight="1" spans="1:11">
      <c r="A39" s="3"/>
      <c r="H39" s="5" t="str">
        <f>IFERROR(baoliuxiaoshuwei((F39-G39)/(F39+G39)*100,0),"")</f>
        <v/>
      </c>
      <c r="I39" s="5" t="str">
        <f t="shared" si="0"/>
        <v/>
      </c>
      <c r="K39" s="5" t="str">
        <f>IFERROR(IF(J39="ND","ND",baoliuxiaoshuwei(((J39-基础页!$B$25)*基础页!$B$16)/E39,2)),"")</f>
        <v/>
      </c>
    </row>
    <row r="40" ht="20.25" customHeight="1" spans="1:11">
      <c r="A40" s="3"/>
      <c r="H40" s="5" t="str">
        <f>IFERROR(baoliuxiaoshuwei((F40-G40)/(F40+G40)*100,0),"")</f>
        <v/>
      </c>
      <c r="I40" s="5" t="str">
        <f t="shared" si="0"/>
        <v/>
      </c>
      <c r="K40" s="5" t="str">
        <f>IFERROR(IF(J40="ND","ND",baoliuxiaoshuwei(((J40-基础页!$B$25)*基础页!$B$16)/E40,2)),"")</f>
        <v/>
      </c>
    </row>
    <row r="41" ht="20.25" customHeight="1" spans="1:11">
      <c r="A41" s="3"/>
      <c r="H41" s="5" t="str">
        <f>IFERROR(baoliuxiaoshuwei((F41-G41)/(F41+G41)*100,0),"")</f>
        <v/>
      </c>
      <c r="I41" s="5" t="str">
        <f t="shared" si="0"/>
        <v/>
      </c>
      <c r="K41" s="5" t="str">
        <f>IFERROR(IF(J41="ND","ND",baoliuxiaoshuwei(((J41-基础页!$B$25)*基础页!$B$16)/E41,2)),"")</f>
        <v/>
      </c>
    </row>
    <row r="42" ht="20.25" customHeight="1" spans="1:11">
      <c r="A42" s="3"/>
      <c r="H42" s="5" t="str">
        <f>IFERROR(baoliuxiaoshuwei((F42-G42)/(F42+G42)*100,0),"")</f>
        <v/>
      </c>
      <c r="I42" s="5" t="str">
        <f t="shared" si="0"/>
        <v/>
      </c>
      <c r="K42" s="5" t="str">
        <f>IFERROR(IF(J42="ND","ND",baoliuxiaoshuwei(((J42-基础页!$B$25)*基础页!$B$16)/E42,2)),"")</f>
        <v/>
      </c>
    </row>
    <row r="43" ht="20.25" customHeight="1" spans="1:11">
      <c r="A43" s="3"/>
      <c r="H43" s="5" t="str">
        <f>IFERROR(baoliuxiaoshuwei((F43-G43)/(F43+G43)*100,0),"")</f>
        <v/>
      </c>
      <c r="I43" s="5" t="str">
        <f t="shared" si="0"/>
        <v/>
      </c>
      <c r="K43" s="5" t="str">
        <f>IFERROR(IF(J43="ND","ND",baoliuxiaoshuwei(((J43-基础页!$B$25)*基础页!$B$16)/E43,2)),"")</f>
        <v/>
      </c>
    </row>
    <row r="44" ht="20.25" customHeight="1" spans="1:11">
      <c r="A44" s="3"/>
      <c r="H44" s="5" t="str">
        <f>IFERROR(baoliuxiaoshuwei((F44-G44)/(F44+G44)*100,0),"")</f>
        <v/>
      </c>
      <c r="I44" s="5" t="str">
        <f t="shared" si="0"/>
        <v/>
      </c>
      <c r="K44" s="5" t="str">
        <f>IFERROR(IF(J44="ND","ND",baoliuxiaoshuwei(((J44-基础页!$B$25)*基础页!$B$16)/E44,2)),"")</f>
        <v/>
      </c>
    </row>
    <row r="45" ht="20.25" customHeight="1" spans="1:11">
      <c r="A45" s="3"/>
      <c r="H45" s="5" t="str">
        <f>IFERROR(baoliuxiaoshuwei((F45-G45)/(F45+G45)*100,0),"")</f>
        <v/>
      </c>
      <c r="I45" s="5" t="str">
        <f t="shared" si="0"/>
        <v/>
      </c>
      <c r="K45" s="5" t="str">
        <f>IFERROR(IF(J45="ND","ND",baoliuxiaoshuwei(((J45-基础页!$B$25)*基础页!$B$16)/E45,2)),"")</f>
        <v/>
      </c>
    </row>
    <row r="46" ht="20.25" customHeight="1" spans="1:11">
      <c r="A46" s="3"/>
      <c r="H46" s="5" t="str">
        <f>IFERROR(baoliuxiaoshuwei((F46-G46)/(F46+G46)*100,0),"")</f>
        <v/>
      </c>
      <c r="I46" s="5" t="str">
        <f t="shared" si="0"/>
        <v/>
      </c>
      <c r="K46" s="5" t="str">
        <f>IFERROR(IF(J46="ND","ND",baoliuxiaoshuwei(((J46-基础页!$B$25)*基础页!$B$16)/E46,2)),"")</f>
        <v/>
      </c>
    </row>
    <row r="47" ht="20.25" customHeight="1" spans="1:11">
      <c r="A47" s="3"/>
      <c r="H47" s="5" t="str">
        <f>IFERROR(baoliuxiaoshuwei((F47-G47)/(F47+G47)*100,0),"")</f>
        <v/>
      </c>
      <c r="I47" s="5" t="str">
        <f t="shared" si="0"/>
        <v/>
      </c>
      <c r="K47" s="5" t="str">
        <f>IFERROR(IF(J47="ND","ND",baoliuxiaoshuwei(((J47-基础页!$B$25)*基础页!$B$16)/E47,2)),"")</f>
        <v/>
      </c>
    </row>
    <row r="48" ht="20.25" customHeight="1" spans="1:11">
      <c r="A48" s="3"/>
      <c r="H48" s="5" t="str">
        <f>IFERROR(baoliuxiaoshuwei((F48-G48)/(F48+G48)*100,0),"")</f>
        <v/>
      </c>
      <c r="I48" s="5" t="str">
        <f t="shared" si="0"/>
        <v/>
      </c>
      <c r="K48" s="5" t="str">
        <f>IFERROR(IF(J48="ND","ND",baoliuxiaoshuwei(((J48-基础页!$B$25)*基础页!$B$16)/E48,2)),"")</f>
        <v/>
      </c>
    </row>
    <row r="49" ht="20.25" customHeight="1" spans="1:11">
      <c r="A49" s="3"/>
      <c r="H49" s="5" t="str">
        <f>IFERROR(baoliuxiaoshuwei((F49-G49)/(F49+G49)*100,0),"")</f>
        <v/>
      </c>
      <c r="I49" s="5" t="str">
        <f t="shared" si="0"/>
        <v/>
      </c>
      <c r="K49" s="5" t="str">
        <f>IFERROR(IF(J49="ND","ND",baoliuxiaoshuwei(((J49-基础页!$B$25)*基础页!$B$16)/E49,2)),"")</f>
        <v/>
      </c>
    </row>
    <row r="50" ht="20.25" customHeight="1" spans="1:11">
      <c r="A50" s="3"/>
      <c r="H50" s="5" t="str">
        <f>IFERROR(baoliuxiaoshuwei((F50-G50)/(F50+G50)*100,2),"")</f>
        <v/>
      </c>
      <c r="I50" s="5" t="str">
        <f t="shared" si="0"/>
        <v/>
      </c>
      <c r="K50" s="5" t="str">
        <f>IFERROR(IF(J50="ND","ND",baoliuxiaoshuwei(((J50-基础页!$B$25)*基础页!$B$16)/E50,2)),"")</f>
        <v/>
      </c>
    </row>
    <row r="51" ht="20.25" customHeight="1" spans="1:11">
      <c r="A51" s="3"/>
      <c r="H51" s="5" t="str">
        <f>IFERROR(baoliuxiaoshuwei((F51-G51)/(F51+G51)*100,2),"")</f>
        <v/>
      </c>
      <c r="I51" s="5" t="str">
        <f t="shared" si="0"/>
        <v/>
      </c>
      <c r="K51" s="5" t="str">
        <f>IFERROR(IF(J51="ND","ND",baoliuxiaoshuwei(((J51-基础页!$B$25)*基础页!$B$16)/E51,2)),"")</f>
        <v/>
      </c>
    </row>
    <row r="52" ht="20.25" customHeight="1" spans="1:11">
      <c r="A52" s="3"/>
      <c r="H52" s="5" t="str">
        <f>IFERROR(baoliuxiaoshuwei((F52-G52)/(F52+G52)*100,2),"")</f>
        <v/>
      </c>
      <c r="I52" s="5" t="str">
        <f t="shared" si="0"/>
        <v/>
      </c>
      <c r="K52" s="5" t="str">
        <f>IFERROR(IF(J52="ND","ND",baoliuxiaoshuwei(((J52-基础页!$B$25)*基础页!$B$16)/E52,2)),"")</f>
        <v/>
      </c>
    </row>
    <row r="53" ht="20.25" customHeight="1" spans="1:11">
      <c r="A53" s="3"/>
      <c r="H53" s="5" t="str">
        <f>IFERROR(baoliuxiaoshuwei((F53-G53)/(F53+G53)*100,2),"")</f>
        <v/>
      </c>
      <c r="I53" s="5" t="str">
        <f t="shared" si="0"/>
        <v/>
      </c>
      <c r="K53" s="5" t="str">
        <f>IFERROR(IF(J53="ND","ND",baoliuxiaoshuwei(((J53-基础页!$B$25)*基础页!$B$16)/E53,2)),"")</f>
        <v/>
      </c>
    </row>
    <row r="54" ht="20.25" customHeight="1" spans="1:11">
      <c r="A54" s="3"/>
      <c r="H54" s="5" t="str">
        <f>IFERROR(baoliuxiaoshuwei((F54-G54)/(F54+G54)*100,2),"")</f>
        <v/>
      </c>
      <c r="I54" s="5" t="str">
        <f t="shared" si="0"/>
        <v/>
      </c>
      <c r="K54" s="5" t="str">
        <f>IFERROR(IF(J54="ND","ND",baoliuxiaoshuwei(((J54-基础页!$B$25)*基础页!$B$16)/E54,2)),"")</f>
        <v/>
      </c>
    </row>
    <row r="55" ht="20.25" customHeight="1" spans="1:11">
      <c r="A55" s="3"/>
      <c r="H55" s="5" t="str">
        <f>IFERROR(baoliuxiaoshuwei((F55-G55)/(F55+G55)*100,2),"")</f>
        <v/>
      </c>
      <c r="I55" s="5" t="str">
        <f t="shared" si="0"/>
        <v/>
      </c>
      <c r="K55" s="5" t="str">
        <f>IFERROR(IF(J55="ND","ND",baoliuxiaoshuwei(((J55-基础页!$B$25)*基础页!$B$16)/E55,2)),"")</f>
        <v/>
      </c>
    </row>
    <row r="56" ht="20.25" customHeight="1" spans="1:11">
      <c r="A56" s="3"/>
      <c r="H56" s="5" t="str">
        <f>IFERROR(baoliuxiaoshuwei((F56-G56)/(F56+G56)*100,2),"")</f>
        <v/>
      </c>
      <c r="I56" s="5" t="str">
        <f t="shared" si="0"/>
        <v/>
      </c>
      <c r="K56" s="5" t="str">
        <f>IFERROR(IF(J56="ND","ND",baoliuxiaoshuwei(((J56-基础页!$B$25)*基础页!$B$16)/E56,2)),"")</f>
        <v/>
      </c>
    </row>
    <row r="57" ht="20.25" customHeight="1" spans="1:11">
      <c r="A57" s="3"/>
      <c r="H57" s="5" t="str">
        <f>IFERROR(baoliuxiaoshuwei((F57-G57)/(F57+G57)*100,2),"")</f>
        <v/>
      </c>
      <c r="I57" s="5" t="str">
        <f t="shared" si="0"/>
        <v/>
      </c>
      <c r="K57" s="5" t="str">
        <f>IFERROR(IF(J57="ND","ND",baoliuxiaoshuwei(((J57-基础页!$B$25)*基础页!$B$16)/E57,2)),"")</f>
        <v/>
      </c>
    </row>
    <row r="58" ht="20.25" customHeight="1" spans="1:11">
      <c r="A58" s="3"/>
      <c r="H58" s="5" t="str">
        <f>IFERROR(baoliuxiaoshuwei((F58-G58)/(F58+G58)*100,2),"")</f>
        <v/>
      </c>
      <c r="I58" s="5" t="str">
        <f t="shared" si="0"/>
        <v/>
      </c>
      <c r="K58" s="5" t="str">
        <f>IFERROR(IF(J58="ND","ND",baoliuxiaoshuwei(((J58-基础页!$B$25)*基础页!$B$16)/E58,2)),"")</f>
        <v/>
      </c>
    </row>
    <row r="59" ht="20.25" customHeight="1" spans="1:11">
      <c r="A59" s="3"/>
      <c r="H59" s="5" t="str">
        <f>IFERROR(baoliuxiaoshuwei((F59-G59)/(F59+G59)*100,2),"")</f>
        <v/>
      </c>
      <c r="I59" s="5" t="str">
        <f t="shared" si="0"/>
        <v/>
      </c>
      <c r="K59" s="5" t="str">
        <f>IFERROR(IF(J59="ND","ND",baoliuxiaoshuwei(((J59-基础页!$B$25)*基础页!$B$16)/E59,2)),"")</f>
        <v/>
      </c>
    </row>
    <row r="60" ht="20.25" customHeight="1" spans="1:11">
      <c r="A60" s="3"/>
      <c r="H60" s="5" t="str">
        <f>IFERROR(baoliuxiaoshuwei((F60-G60)/(F60+G60)*100,2),"")</f>
        <v/>
      </c>
      <c r="I60" s="5" t="str">
        <f t="shared" si="0"/>
        <v/>
      </c>
      <c r="K60" s="5" t="str">
        <f>IFERROR(IF(J60="ND","ND",baoliuxiaoshuwei(((J60-基础页!$B$25)*基础页!$B$16)/E60,2)),"")</f>
        <v/>
      </c>
    </row>
    <row r="61" ht="20.25" customHeight="1" spans="1:11">
      <c r="A61" s="3"/>
      <c r="H61" s="5" t="str">
        <f>IFERROR(baoliuxiaoshuwei((F61-G61)/(F61+G61)*100,2),"")</f>
        <v/>
      </c>
      <c r="I61" s="5" t="str">
        <f t="shared" si="0"/>
        <v/>
      </c>
      <c r="K61" s="5" t="str">
        <f>IFERROR(IF(J61="ND","ND",baoliuxiaoshuwei(((J61-基础页!$B$25)*基础页!$B$16)/E61,2)),"")</f>
        <v/>
      </c>
    </row>
    <row r="62" ht="20.25" customHeight="1" spans="1:11">
      <c r="A62" s="3"/>
      <c r="H62" s="5" t="str">
        <f>IFERROR(baoliuxiaoshuwei((F62-G62)/(F62+G62)*100,2),"")</f>
        <v/>
      </c>
      <c r="I62" s="5" t="str">
        <f t="shared" si="0"/>
        <v/>
      </c>
      <c r="K62" s="5" t="str">
        <f>IFERROR(IF(J62="ND","ND",baoliuxiaoshuwei(((J62-基础页!$B$25)*基础页!$B$16)/E62,2)),"")</f>
        <v/>
      </c>
    </row>
    <row r="63" ht="20.25" customHeight="1" spans="1:11">
      <c r="A63" s="3"/>
      <c r="H63" s="5" t="str">
        <f>IFERROR(baoliuxiaoshuwei((F63-G63)/(F63+G63)*100,2),"")</f>
        <v/>
      </c>
      <c r="I63" s="5" t="str">
        <f t="shared" si="0"/>
        <v/>
      </c>
      <c r="K63" s="5" t="str">
        <f>IFERROR(IF(J63="ND","ND",baoliuxiaoshuwei(((J63-基础页!$B$25)*基础页!$B$16)/E63,2)),"")</f>
        <v/>
      </c>
    </row>
    <row r="64" ht="20.25" customHeight="1" spans="1:11">
      <c r="A64" s="3"/>
      <c r="H64" s="5" t="str">
        <f>IFERROR(baoliuxiaoshuwei((F64-G64)/(F64+G64)*100,2),"")</f>
        <v/>
      </c>
      <c r="I64" s="5" t="str">
        <f t="shared" si="0"/>
        <v/>
      </c>
      <c r="K64" s="5" t="str">
        <f>IFERROR(IF(J64="ND","ND",baoliuxiaoshuwei(((J64-基础页!$B$25)*基础页!$B$16)/E64,2)),"")</f>
        <v/>
      </c>
    </row>
    <row r="65" ht="20.25" customHeight="1" spans="1:11">
      <c r="A65" s="3"/>
      <c r="H65" s="5" t="str">
        <f>IFERROR(baoliuxiaoshuwei((F65-G65)/(F65+G65)*100,2),"")</f>
        <v/>
      </c>
      <c r="I65" s="5" t="str">
        <f t="shared" si="0"/>
        <v/>
      </c>
      <c r="K65" s="5" t="str">
        <f>IFERROR(IF(J65="ND","ND",baoliuxiaoshuwei(((J65-基础页!$B$25)*基础页!$B$16)/E65,2)),"")</f>
        <v/>
      </c>
    </row>
    <row r="66" ht="20.25" customHeight="1" spans="1:11">
      <c r="A66" s="3"/>
      <c r="I66" s="5" t="str">
        <f t="shared" si="0"/>
        <v/>
      </c>
      <c r="K66" s="5" t="str">
        <f>IFERROR(IF(J66="ND","ND",baoliuxiaoshuwei(((J66-基础页!$B$25)*基础页!$B$16)/E66,2)),"")</f>
        <v/>
      </c>
    </row>
    <row r="67" ht="20.25" customHeight="1" spans="1:11">
      <c r="A67" s="3"/>
      <c r="I67" s="5" t="str">
        <f t="shared" si="0"/>
        <v/>
      </c>
      <c r="K67" s="5" t="str">
        <f>IFERROR(IF(J67="ND","ND",baoliuxiaoshuwei(((J67-基础页!$B$25)*基础页!$B$16)/E67,2)),"")</f>
        <v/>
      </c>
    </row>
    <row r="68" ht="20.25" customHeight="1" spans="1:11">
      <c r="A68" s="3"/>
      <c r="I68" s="5" t="str">
        <f t="shared" si="0"/>
        <v/>
      </c>
      <c r="K68" s="5" t="str">
        <f>IFERROR(IF(J68="ND","ND",baoliuxiaoshuwei(((J68-基础页!$B$25)*基础页!$B$16)/E68,2)),"")</f>
        <v/>
      </c>
    </row>
    <row r="69" ht="20.25" customHeight="1" spans="1:11">
      <c r="A69" s="3"/>
      <c r="I69" s="5" t="str">
        <f t="shared" si="0"/>
        <v/>
      </c>
      <c r="K69" s="5" t="str">
        <f>IFERROR(IF(J69="ND","ND",baoliuxiaoshuwei(((J69-基础页!$B$25)*基础页!$B$16)/E69,2)),"")</f>
        <v/>
      </c>
    </row>
    <row r="70" ht="20.25" customHeight="1" spans="1:11">
      <c r="A70" s="3"/>
      <c r="I70" s="5" t="str">
        <f t="shared" ref="I70:I133" si="1">IFERROR(IF(ISBLANK(J70),"",IF(K70="ND","否","是")),"")</f>
        <v/>
      </c>
      <c r="K70" s="5" t="str">
        <f>IFERROR(IF(J70="ND","ND",baoliuxiaoshuwei(((J70-基础页!$B$25)*基础页!$B$16)/E70,2)),"")</f>
        <v/>
      </c>
    </row>
    <row r="71" ht="20.25" customHeight="1" spans="1:11">
      <c r="A71" s="3"/>
      <c r="I71" s="5" t="str">
        <f t="shared" si="1"/>
        <v/>
      </c>
      <c r="K71" s="5" t="str">
        <f>IFERROR(IF(J71="ND","ND",baoliuxiaoshuwei(((J71-基础页!$B$25)*基础页!$B$16)/E71,2)),"")</f>
        <v/>
      </c>
    </row>
    <row r="72" ht="20.25" customHeight="1" spans="1:11">
      <c r="A72" s="3"/>
      <c r="I72" s="5" t="str">
        <f t="shared" si="1"/>
        <v/>
      </c>
      <c r="K72" s="5" t="str">
        <f>IFERROR(IF(J72="ND","ND",baoliuxiaoshuwei(((J72-基础页!$B$25)*基础页!$B$16)/E72,2)),"")</f>
        <v/>
      </c>
    </row>
    <row r="73" ht="20.25" customHeight="1" spans="1:11">
      <c r="A73" s="3"/>
      <c r="I73" s="5" t="str">
        <f t="shared" si="1"/>
        <v/>
      </c>
      <c r="K73" s="5" t="str">
        <f>IFERROR(IF(J73="ND","ND",baoliuxiaoshuwei(((J73-基础页!$B$25)*基础页!$B$16)/E73,2)),"")</f>
        <v/>
      </c>
    </row>
    <row r="74" ht="20.25" customHeight="1" spans="1:11">
      <c r="A74" s="3"/>
      <c r="I74" s="5" t="str">
        <f t="shared" si="1"/>
        <v/>
      </c>
      <c r="K74" s="5" t="str">
        <f>IFERROR(IF(J74="ND","ND",baoliuxiaoshuwei(((J74-基础页!$B$25)*基础页!$B$16)/E74,2)),"")</f>
        <v/>
      </c>
    </row>
    <row r="75" ht="20.25" customHeight="1" spans="1:11">
      <c r="A75" s="3"/>
      <c r="I75" s="5" t="str">
        <f t="shared" si="1"/>
        <v/>
      </c>
      <c r="K75" s="5" t="str">
        <f>IFERROR(IF(J75="ND","ND",baoliuxiaoshuwei(((J75-基础页!$B$25)*基础页!$B$16)/E75,2)),"")</f>
        <v/>
      </c>
    </row>
    <row r="76" ht="20.25" customHeight="1" spans="1:11">
      <c r="A76" s="3"/>
      <c r="I76" s="5" t="str">
        <f t="shared" si="1"/>
        <v/>
      </c>
      <c r="K76" s="5" t="str">
        <f>IFERROR(IF(J76="ND","ND",baoliuxiaoshuwei(((J76-基础页!$B$25)*基础页!$B$16)/E76,2)),"")</f>
        <v/>
      </c>
    </row>
    <row r="77" ht="20.25" customHeight="1" spans="1:11">
      <c r="A77" s="3"/>
      <c r="I77" s="5" t="str">
        <f t="shared" si="1"/>
        <v/>
      </c>
      <c r="K77" s="5" t="str">
        <f>IFERROR(IF(J77="ND","ND",baoliuxiaoshuwei(((J77-基础页!$B$25)*基础页!$B$16)/E77,2)),"")</f>
        <v/>
      </c>
    </row>
    <row r="78" ht="20.25" customHeight="1" spans="1:11">
      <c r="A78" s="3"/>
      <c r="I78" s="5" t="str">
        <f t="shared" si="1"/>
        <v/>
      </c>
      <c r="K78" s="5" t="str">
        <f>IFERROR(IF(J78="ND","ND",baoliuxiaoshuwei(((J78-基础页!$B$25)*基础页!$B$16)/E78,2)),"")</f>
        <v/>
      </c>
    </row>
    <row r="79" ht="20.25" customHeight="1" spans="1:11">
      <c r="A79" s="3"/>
      <c r="I79" s="5" t="str">
        <f t="shared" si="1"/>
        <v/>
      </c>
      <c r="K79" s="5" t="str">
        <f>IFERROR(IF(J79="ND","ND",baoliuxiaoshuwei(((J79-基础页!$B$25)*基础页!$B$16)/E79,2)),"")</f>
        <v/>
      </c>
    </row>
    <row r="80" ht="20.25" customHeight="1" spans="1:11">
      <c r="A80" s="3"/>
      <c r="I80" s="5" t="str">
        <f t="shared" si="1"/>
        <v/>
      </c>
      <c r="K80" s="5" t="str">
        <f>IFERROR(IF(J80="ND","ND",baoliuxiaoshuwei(((J80-基础页!$B$25)*基础页!$B$16)/E80,2)),"")</f>
        <v/>
      </c>
    </row>
    <row r="81" ht="20.25" customHeight="1" spans="1:11">
      <c r="A81" s="3"/>
      <c r="I81" s="5" t="str">
        <f t="shared" si="1"/>
        <v/>
      </c>
      <c r="K81" s="5" t="str">
        <f>IFERROR(IF(J81="ND","ND",baoliuxiaoshuwei(((J81-基础页!$B$25)*基础页!$B$16)/E81,2)),"")</f>
        <v/>
      </c>
    </row>
    <row r="82" ht="20.25" customHeight="1" spans="1:11">
      <c r="A82" s="3"/>
      <c r="I82" s="5" t="str">
        <f t="shared" si="1"/>
        <v/>
      </c>
      <c r="K82" s="5" t="str">
        <f>IFERROR(IF(J82="ND","ND",baoliuxiaoshuwei(((J82-基础页!$B$25)*基础页!$B$16)/E82,2)),"")</f>
        <v/>
      </c>
    </row>
    <row r="83" ht="20.25" customHeight="1" spans="1:11">
      <c r="A83" s="3"/>
      <c r="I83" s="5" t="str">
        <f t="shared" si="1"/>
        <v/>
      </c>
      <c r="K83" s="5" t="str">
        <f>IFERROR(IF(J83="ND","ND",baoliuxiaoshuwei(((J83-基础页!$B$25)*基础页!$B$16)/E83,2)),"")</f>
        <v/>
      </c>
    </row>
    <row r="84" ht="20.25" customHeight="1" spans="1:11">
      <c r="A84" s="3"/>
      <c r="I84" s="5" t="str">
        <f t="shared" si="1"/>
        <v/>
      </c>
      <c r="K84" s="5" t="str">
        <f>IFERROR(IF(J84="ND","ND",baoliuxiaoshuwei(((J84-基础页!$B$25)*基础页!$B$16)/E84,2)),"")</f>
        <v/>
      </c>
    </row>
    <row r="85" ht="20.25" customHeight="1" spans="1:11">
      <c r="A85" s="3"/>
      <c r="I85" s="5" t="str">
        <f t="shared" si="1"/>
        <v/>
      </c>
      <c r="K85" s="5" t="str">
        <f>IFERROR(IF(J85="ND","ND",baoliuxiaoshuwei(((J85-基础页!$B$25)*基础页!$B$16)/E85,2)),"")</f>
        <v/>
      </c>
    </row>
    <row r="86" ht="20.25" customHeight="1" spans="1:11">
      <c r="A86" s="3"/>
      <c r="I86" s="5" t="str">
        <f t="shared" si="1"/>
        <v/>
      </c>
      <c r="K86" s="5" t="str">
        <f>IFERROR(IF(J86="ND","ND",baoliuxiaoshuwei(((J86-基础页!$B$25)*基础页!$B$16)/E86,2)),"")</f>
        <v/>
      </c>
    </row>
    <row r="87" ht="20.25" customHeight="1" spans="1:11">
      <c r="A87" s="3"/>
      <c r="I87" s="5" t="str">
        <f t="shared" si="1"/>
        <v/>
      </c>
      <c r="K87" s="5" t="str">
        <f>IFERROR(IF(J87="ND","ND",baoliuxiaoshuwei(((J87-基础页!$B$25)*基础页!$B$16)/E87,2)),"")</f>
        <v/>
      </c>
    </row>
    <row r="88" ht="20.25" customHeight="1" spans="1:11">
      <c r="A88" s="3"/>
      <c r="I88" s="5" t="str">
        <f t="shared" si="1"/>
        <v/>
      </c>
      <c r="K88" s="5" t="str">
        <f>IFERROR(IF(J88="ND","ND",baoliuxiaoshuwei(((J88-基础页!$B$25)*基础页!$B$16)/E88,2)),"")</f>
        <v/>
      </c>
    </row>
    <row r="89" ht="20.25" customHeight="1" spans="1:11">
      <c r="A89" s="3"/>
      <c r="I89" s="5" t="str">
        <f t="shared" si="1"/>
        <v/>
      </c>
      <c r="K89" s="5" t="str">
        <f>IFERROR(IF(J89="ND","ND",baoliuxiaoshuwei(((J89-基础页!$B$25)*基础页!$B$16)/E89,2)),"")</f>
        <v/>
      </c>
    </row>
    <row r="90" ht="20.25" customHeight="1" spans="1:11">
      <c r="A90" s="3"/>
      <c r="I90" s="5" t="str">
        <f t="shared" si="1"/>
        <v/>
      </c>
      <c r="K90" s="5" t="str">
        <f>IFERROR(IF(J90="ND","ND",baoliuxiaoshuwei(((J90-基础页!$B$25)*基础页!$B$16)/E90,2)),"")</f>
        <v/>
      </c>
    </row>
    <row r="91" ht="20.25" customHeight="1" spans="1:11">
      <c r="A91" s="3"/>
      <c r="I91" s="5" t="str">
        <f t="shared" si="1"/>
        <v/>
      </c>
      <c r="K91" s="5" t="str">
        <f>IFERROR(IF(J91="ND","ND",baoliuxiaoshuwei(((J91-基础页!$B$25)*基础页!$B$16)/E91,2)),"")</f>
        <v/>
      </c>
    </row>
    <row r="92" ht="20.25" customHeight="1" spans="1:11">
      <c r="A92" s="3"/>
      <c r="I92" s="5" t="str">
        <f t="shared" si="1"/>
        <v/>
      </c>
      <c r="K92" s="5" t="str">
        <f>IFERROR(IF(J92="ND","ND",baoliuxiaoshuwei(((J92-基础页!$B$25)*基础页!$B$16)/E92,2)),"")</f>
        <v/>
      </c>
    </row>
    <row r="93" ht="20.25" customHeight="1" spans="1:11">
      <c r="A93" s="3"/>
      <c r="I93" s="5" t="str">
        <f t="shared" si="1"/>
        <v/>
      </c>
      <c r="K93" s="5" t="str">
        <f>IFERROR(IF(J93="ND","ND",baoliuxiaoshuwei(((J93-基础页!$B$25)*基础页!$B$16)/E93,2)),"")</f>
        <v/>
      </c>
    </row>
    <row r="94" ht="20.25" customHeight="1" spans="1:11">
      <c r="A94" s="3"/>
      <c r="I94" s="5" t="str">
        <f t="shared" si="1"/>
        <v/>
      </c>
      <c r="K94" s="5" t="str">
        <f>IFERROR(IF(J94="ND","ND",baoliuxiaoshuwei(((J94-基础页!$B$25)*基础页!$B$16)/E94,2)),"")</f>
        <v/>
      </c>
    </row>
    <row r="95" ht="20.25" customHeight="1" spans="1:11">
      <c r="A95" s="3"/>
      <c r="I95" s="5" t="str">
        <f t="shared" si="1"/>
        <v/>
      </c>
      <c r="K95" s="5" t="str">
        <f>IFERROR(IF(J95="ND","ND",baoliuxiaoshuwei(((J95-基础页!$B$25)*基础页!$B$16)/E95,2)),"")</f>
        <v/>
      </c>
    </row>
    <row r="96" ht="20.25" customHeight="1" spans="1:11">
      <c r="A96" s="3"/>
      <c r="I96" s="5" t="str">
        <f t="shared" si="1"/>
        <v/>
      </c>
      <c r="K96" s="5" t="str">
        <f>IFERROR(IF(J96="ND","ND",baoliuxiaoshuwei(((J96-基础页!$B$25)*基础页!$B$16)/E96,2)),"")</f>
        <v/>
      </c>
    </row>
    <row r="97" ht="20.25" customHeight="1" spans="1:11">
      <c r="A97" s="3"/>
      <c r="I97" s="5" t="str">
        <f t="shared" si="1"/>
        <v/>
      </c>
      <c r="K97" s="5" t="str">
        <f>IFERROR(IF(J97="ND","ND",baoliuxiaoshuwei(((J97-基础页!$B$25)*基础页!$B$16)/E97,2)),"")</f>
        <v/>
      </c>
    </row>
    <row r="98" ht="20.25" customHeight="1" spans="1:11">
      <c r="A98" s="3"/>
      <c r="I98" s="5" t="str">
        <f t="shared" si="1"/>
        <v/>
      </c>
      <c r="K98" s="5" t="str">
        <f>IFERROR(IF(J98="ND","ND",baoliuxiaoshuwei(((J98-基础页!$B$25)*基础页!$B$16)/E98,2)),"")</f>
        <v/>
      </c>
    </row>
    <row r="99" ht="20.25" customHeight="1" spans="1:11">
      <c r="A99" s="3"/>
      <c r="I99" s="5" t="str">
        <f t="shared" si="1"/>
        <v/>
      </c>
      <c r="K99" s="5" t="str">
        <f>IFERROR(IF(J99="ND","ND",baoliuxiaoshuwei(((J99-基础页!$B$25)*基础页!$B$16)/E99,2)),"")</f>
        <v/>
      </c>
    </row>
    <row r="100" ht="20.25" customHeight="1" spans="1:11">
      <c r="A100" s="3"/>
      <c r="I100" s="5" t="str">
        <f t="shared" si="1"/>
        <v/>
      </c>
      <c r="K100" s="5" t="str">
        <f>IFERROR(IF(J100="ND","ND",baoliuxiaoshuwei(((J100-基础页!$B$25)*基础页!$B$16)/E100,2)),"")</f>
        <v/>
      </c>
    </row>
    <row r="101" ht="20.25" customHeight="1" spans="1:11">
      <c r="A101" s="3"/>
      <c r="I101" s="5" t="str">
        <f t="shared" si="1"/>
        <v/>
      </c>
      <c r="K101" s="5" t="str">
        <f>IFERROR(IF(J101="ND","ND",baoliuxiaoshuwei(((J101-基础页!$B$25)*基础页!$B$16)/E101,2)),"")</f>
        <v/>
      </c>
    </row>
    <row r="102" ht="20.25" customHeight="1" spans="1:11">
      <c r="A102" s="3"/>
      <c r="I102" s="5" t="str">
        <f t="shared" si="1"/>
        <v/>
      </c>
      <c r="K102" s="5" t="str">
        <f>IFERROR(IF(J102="ND","ND",baoliuxiaoshuwei(((J102-基础页!$B$25)*基础页!$B$16)/E102,2)),"")</f>
        <v/>
      </c>
    </row>
    <row r="103" ht="20.25" customHeight="1" spans="1:11">
      <c r="A103" s="3"/>
      <c r="I103" s="5" t="str">
        <f t="shared" si="1"/>
        <v/>
      </c>
      <c r="K103" s="5" t="str">
        <f>IFERROR(IF(J103="ND","ND",baoliuxiaoshuwei(((J103-基础页!$B$25)*基础页!$B$16)/E103,2)),"")</f>
        <v/>
      </c>
    </row>
    <row r="104" ht="20.25" customHeight="1" spans="1:11">
      <c r="A104" s="3"/>
      <c r="I104" s="5" t="str">
        <f t="shared" si="1"/>
        <v/>
      </c>
      <c r="K104" s="5" t="str">
        <f>IFERROR(IF(J104="ND","ND",baoliuxiaoshuwei(((J104-基础页!$B$25)*基础页!$B$16)/E104,2)),"")</f>
        <v/>
      </c>
    </row>
    <row r="105" ht="20.25" customHeight="1" spans="1:11">
      <c r="A105" s="3"/>
      <c r="I105" s="5" t="str">
        <f t="shared" si="1"/>
        <v/>
      </c>
      <c r="K105" s="5" t="str">
        <f>IFERROR(IF(J105="ND","ND",baoliuxiaoshuwei(((J105-基础页!$B$25)*基础页!$B$16)/E105,2)),"")</f>
        <v/>
      </c>
    </row>
    <row r="106" ht="20.25" customHeight="1" spans="1:11">
      <c r="A106" s="3"/>
      <c r="I106" s="5" t="str">
        <f t="shared" si="1"/>
        <v/>
      </c>
      <c r="K106" s="5" t="str">
        <f>IFERROR(IF(J106="ND","ND",baoliuxiaoshuwei(((J106-基础页!$B$25)*基础页!$B$16)/E106,2)),"")</f>
        <v/>
      </c>
    </row>
    <row r="107" ht="20.25" customHeight="1" spans="1:11">
      <c r="A107" s="3"/>
      <c r="I107" s="5" t="str">
        <f t="shared" si="1"/>
        <v/>
      </c>
      <c r="K107" s="5" t="str">
        <f>IFERROR(IF(J107="ND","ND",baoliuxiaoshuwei(((J107-基础页!$B$25)*基础页!$B$16)/E107,2)),"")</f>
        <v/>
      </c>
    </row>
    <row r="108" ht="20.25" customHeight="1" spans="1:11">
      <c r="A108" s="3"/>
      <c r="I108" s="5" t="str">
        <f t="shared" si="1"/>
        <v/>
      </c>
      <c r="K108" s="5" t="str">
        <f>IFERROR(IF(J108="ND","ND",baoliuxiaoshuwei(((J108-基础页!$B$25)*基础页!$B$16)/E108,2)),"")</f>
        <v/>
      </c>
    </row>
    <row r="109" ht="20.25" customHeight="1" spans="1:11">
      <c r="A109" s="3"/>
      <c r="I109" s="5" t="str">
        <f t="shared" si="1"/>
        <v/>
      </c>
      <c r="K109" s="5" t="str">
        <f>IFERROR(IF(J109="ND","ND",baoliuxiaoshuwei(((J109-基础页!$B$25)*基础页!$B$16)/E109,2)),"")</f>
        <v/>
      </c>
    </row>
    <row r="110" ht="20.25" customHeight="1" spans="1:11">
      <c r="A110" s="3"/>
      <c r="I110" s="5" t="str">
        <f t="shared" si="1"/>
        <v/>
      </c>
      <c r="K110" s="5" t="str">
        <f>IFERROR(IF(J110="ND","ND",baoliuxiaoshuwei(((J110-基础页!$B$25)*基础页!$B$16)/E110,2)),"")</f>
        <v/>
      </c>
    </row>
    <row r="111" ht="20.25" customHeight="1" spans="1:11">
      <c r="A111" s="3"/>
      <c r="I111" s="5" t="str">
        <f t="shared" si="1"/>
        <v/>
      </c>
      <c r="K111" s="5" t="str">
        <f>IFERROR(IF(J111="ND","ND",baoliuxiaoshuwei(((J111-基础页!$B$25)*基础页!$B$16)/E111,2)),"")</f>
        <v/>
      </c>
    </row>
    <row r="112" ht="20.25" customHeight="1" spans="1:11">
      <c r="A112" s="3"/>
      <c r="I112" s="5" t="str">
        <f t="shared" si="1"/>
        <v/>
      </c>
      <c r="K112" s="5" t="str">
        <f>IFERROR(IF(J112="ND","ND",baoliuxiaoshuwei(((J112-基础页!$B$25)*基础页!$B$16)/E112,2)),"")</f>
        <v/>
      </c>
    </row>
    <row r="113" ht="20.25" customHeight="1" spans="1:11">
      <c r="A113" s="3"/>
      <c r="I113" s="5" t="str">
        <f t="shared" si="1"/>
        <v/>
      </c>
      <c r="K113" s="5" t="str">
        <f>IFERROR(IF(J113="ND","ND",baoliuxiaoshuwei(((J113-基础页!$B$25)*基础页!$B$16)/E113,2)),"")</f>
        <v/>
      </c>
    </row>
    <row r="114" ht="20.25" customHeight="1" spans="1:11">
      <c r="A114" s="3"/>
      <c r="I114" s="5" t="str">
        <f t="shared" si="1"/>
        <v/>
      </c>
      <c r="K114" s="5" t="str">
        <f>IFERROR(IF(J114="ND","ND",baoliuxiaoshuwei(((J114-基础页!$B$25)*基础页!$B$16)/E114,2)),"")</f>
        <v/>
      </c>
    </row>
    <row r="115" ht="20.25" customHeight="1" spans="1:11">
      <c r="A115" s="3"/>
      <c r="I115" s="5" t="str">
        <f t="shared" si="1"/>
        <v/>
      </c>
      <c r="K115" s="5" t="str">
        <f>IFERROR(IF(J115="ND","ND",baoliuxiaoshuwei(((J115-基础页!$B$25)*基础页!$B$16)/E115,2)),"")</f>
        <v/>
      </c>
    </row>
    <row r="116" ht="20.25" customHeight="1" spans="1:11">
      <c r="A116" s="3"/>
      <c r="I116" s="5" t="str">
        <f t="shared" si="1"/>
        <v/>
      </c>
      <c r="K116" s="5" t="str">
        <f>IFERROR(IF(J116="ND","ND",baoliuxiaoshuwei(((J116-基础页!$B$25)*基础页!$B$16)/E116,2)),"")</f>
        <v/>
      </c>
    </row>
    <row r="117" ht="20.25" customHeight="1" spans="1:11">
      <c r="A117" s="3"/>
      <c r="I117" s="5" t="str">
        <f t="shared" si="1"/>
        <v/>
      </c>
      <c r="K117" s="5" t="str">
        <f>IFERROR(IF(J117="ND","ND",baoliuxiaoshuwei(((J117-基础页!$B$25)*基础页!$B$16)/E117,2)),"")</f>
        <v/>
      </c>
    </row>
    <row r="118" ht="20.25" customHeight="1" spans="1:11">
      <c r="A118" s="3"/>
      <c r="I118" s="5" t="str">
        <f t="shared" si="1"/>
        <v/>
      </c>
      <c r="K118" s="5" t="str">
        <f>IFERROR(IF(J118="ND","ND",baoliuxiaoshuwei(((J118-基础页!$B$25)*基础页!$B$16)/E118,2)),"")</f>
        <v/>
      </c>
    </row>
    <row r="119" ht="20.25" customHeight="1" spans="1:11">
      <c r="A119" s="3"/>
      <c r="I119" s="5" t="str">
        <f t="shared" si="1"/>
        <v/>
      </c>
      <c r="K119" s="5" t="str">
        <f>IFERROR(IF(J119="ND","ND",baoliuxiaoshuwei(((J119-基础页!$B$25)*基础页!$B$16)/E119,2)),"")</f>
        <v/>
      </c>
    </row>
    <row r="120" ht="20.25" customHeight="1" spans="1:11">
      <c r="A120" s="3"/>
      <c r="I120" s="5" t="str">
        <f t="shared" si="1"/>
        <v/>
      </c>
      <c r="K120" s="5" t="str">
        <f>IFERROR(IF(J120="ND","ND",baoliuxiaoshuwei(((J120-基础页!$B$25)*基础页!$B$16)/E120,2)),"")</f>
        <v/>
      </c>
    </row>
    <row r="121" ht="20.25" customHeight="1" spans="1:11">
      <c r="A121" s="3"/>
      <c r="I121" s="5" t="str">
        <f t="shared" si="1"/>
        <v/>
      </c>
      <c r="K121" s="5" t="str">
        <f>IFERROR(IF(J121="ND","ND",baoliuxiaoshuwei(((J121-基础页!$B$25)*基础页!$B$16)/E121,2)),"")</f>
        <v/>
      </c>
    </row>
    <row r="122" ht="20.25" customHeight="1" spans="1:11">
      <c r="A122" s="3"/>
      <c r="I122" s="5" t="str">
        <f t="shared" si="1"/>
        <v/>
      </c>
      <c r="K122" s="5" t="str">
        <f>IFERROR(IF(J122="ND","ND",baoliuxiaoshuwei(((J122-基础页!$B$25)*基础页!$B$16)/E122,2)),"")</f>
        <v/>
      </c>
    </row>
    <row r="123" ht="20.25" customHeight="1" spans="1:11">
      <c r="A123" s="3"/>
      <c r="I123" s="5" t="str">
        <f t="shared" si="1"/>
        <v/>
      </c>
      <c r="K123" s="5" t="str">
        <f>IFERROR(IF(J123="ND","ND",baoliuxiaoshuwei(((J123-基础页!$B$25)*基础页!$B$16)/E123,2)),"")</f>
        <v/>
      </c>
    </row>
    <row r="124" ht="20.25" customHeight="1" spans="1:11">
      <c r="A124" s="3"/>
      <c r="I124" s="5" t="str">
        <f t="shared" si="1"/>
        <v/>
      </c>
      <c r="K124" s="5" t="str">
        <f>IFERROR(IF(J124="ND","ND",baoliuxiaoshuwei(((J124-基础页!$B$25)*基础页!$B$16)/E124,2)),"")</f>
        <v/>
      </c>
    </row>
    <row r="125" ht="20.25" customHeight="1" spans="1:11">
      <c r="A125" s="3"/>
      <c r="I125" s="5" t="str">
        <f t="shared" si="1"/>
        <v/>
      </c>
      <c r="K125" s="5" t="str">
        <f>IFERROR(IF(J125="ND","ND",baoliuxiaoshuwei(((J125-基础页!$B$25)*基础页!$B$16)/E125,2)),"")</f>
        <v/>
      </c>
    </row>
    <row r="126" ht="20.25" customHeight="1" spans="1:11">
      <c r="A126" s="3"/>
      <c r="I126" s="5" t="str">
        <f t="shared" si="1"/>
        <v/>
      </c>
      <c r="K126" s="5" t="str">
        <f>IFERROR(IF(J126="ND","ND",baoliuxiaoshuwei(((J126-基础页!$B$25)*基础页!$B$16)/E126,2)),"")</f>
        <v/>
      </c>
    </row>
    <row r="127" ht="20.25" customHeight="1" spans="1:11">
      <c r="A127" s="3"/>
      <c r="I127" s="5" t="str">
        <f t="shared" si="1"/>
        <v/>
      </c>
      <c r="K127" s="5" t="str">
        <f>IFERROR(IF(J127="ND","ND",baoliuxiaoshuwei(((J127-基础页!$B$25)*基础页!$B$16)/E127,2)),"")</f>
        <v/>
      </c>
    </row>
    <row r="128" ht="20.25" customHeight="1" spans="1:11">
      <c r="A128" s="3"/>
      <c r="I128" s="5" t="str">
        <f t="shared" si="1"/>
        <v/>
      </c>
      <c r="K128" s="5" t="str">
        <f>IFERROR(IF(J128="ND","ND",baoliuxiaoshuwei(((J128-基础页!$B$25)*基础页!$B$16)/E128,2)),"")</f>
        <v/>
      </c>
    </row>
    <row r="129" ht="20.25" customHeight="1" spans="1:11">
      <c r="A129" s="3"/>
      <c r="I129" s="5" t="str">
        <f t="shared" si="1"/>
        <v/>
      </c>
      <c r="K129" s="5" t="str">
        <f>IFERROR(IF(J129="ND","ND",baoliuxiaoshuwei(((J129-基础页!$B$25)*基础页!$B$16)/E129,2)),"")</f>
        <v/>
      </c>
    </row>
    <row r="130" ht="20.25" customHeight="1" spans="1:11">
      <c r="A130" s="3"/>
      <c r="I130" s="5" t="str">
        <f t="shared" si="1"/>
        <v/>
      </c>
      <c r="K130" s="5" t="str">
        <f>IFERROR(IF(J130="ND","ND",baoliuxiaoshuwei(((J130-基础页!$B$25)*基础页!$B$16)/E130,2)),"")</f>
        <v/>
      </c>
    </row>
    <row r="131" ht="20.25" customHeight="1" spans="1:11">
      <c r="A131" s="3"/>
      <c r="I131" s="5" t="str">
        <f t="shared" si="1"/>
        <v/>
      </c>
      <c r="K131" s="5" t="str">
        <f>IFERROR(IF(J131="ND","ND",baoliuxiaoshuwei(((J131-基础页!$B$25)*基础页!$B$16)/E131,2)),"")</f>
        <v/>
      </c>
    </row>
    <row r="132" ht="20.25" customHeight="1" spans="1:11">
      <c r="A132" s="3"/>
      <c r="I132" s="5" t="str">
        <f t="shared" si="1"/>
        <v/>
      </c>
      <c r="K132" s="5" t="str">
        <f>IFERROR(IF(J132="ND","ND",baoliuxiaoshuwei(((J132-基础页!$B$25)*基础页!$B$16)/E132,2)),"")</f>
        <v/>
      </c>
    </row>
    <row r="133" ht="20.25" customHeight="1" spans="1:11">
      <c r="A133" s="3"/>
      <c r="I133" s="5" t="str">
        <f t="shared" si="1"/>
        <v/>
      </c>
      <c r="K133" s="5" t="str">
        <f>IFERROR(IF(J133="ND","ND",baoliuxiaoshuwei(((J133-基础页!$B$25)*基础页!$B$16)/E133,2)),"")</f>
        <v/>
      </c>
    </row>
    <row r="134" ht="20.25" customHeight="1" spans="1:11">
      <c r="A134" s="3"/>
      <c r="I134" s="5" t="str">
        <f t="shared" ref="I134:I197" si="2">IFERROR(IF(ISBLANK(J134),"",IF(K134="ND","否","是")),"")</f>
        <v/>
      </c>
      <c r="K134" s="5" t="str">
        <f>IFERROR(IF(J134="ND","ND",baoliuxiaoshuwei(((J134-基础页!$B$25)*基础页!$B$16)/E134,2)),"")</f>
        <v/>
      </c>
    </row>
    <row r="135" ht="20.25" customHeight="1" spans="1:11">
      <c r="A135" s="3"/>
      <c r="I135" s="5" t="str">
        <f t="shared" si="2"/>
        <v/>
      </c>
      <c r="K135" s="5" t="str">
        <f>IFERROR(IF(J135="ND","ND",baoliuxiaoshuwei(((J135-基础页!$B$25)*基础页!$B$16)/E135,2)),"")</f>
        <v/>
      </c>
    </row>
    <row r="136" ht="20.25" customHeight="1" spans="1:11">
      <c r="A136" s="3"/>
      <c r="I136" s="5" t="str">
        <f t="shared" si="2"/>
        <v/>
      </c>
      <c r="K136" s="5" t="str">
        <f>IFERROR(IF(J136="ND","ND",baoliuxiaoshuwei(((J136-基础页!$B$25)*基础页!$B$16)/E136,2)),"")</f>
        <v/>
      </c>
    </row>
    <row r="137" ht="20.25" customHeight="1" spans="1:11">
      <c r="A137" s="3"/>
      <c r="I137" s="5" t="str">
        <f t="shared" si="2"/>
        <v/>
      </c>
      <c r="K137" s="5" t="str">
        <f>IFERROR(IF(J137="ND","ND",baoliuxiaoshuwei(((J137-基础页!$B$25)*基础页!$B$16)/E137,2)),"")</f>
        <v/>
      </c>
    </row>
    <row r="138" ht="20.25" customHeight="1" spans="1:11">
      <c r="A138" s="3"/>
      <c r="I138" s="5" t="str">
        <f t="shared" si="2"/>
        <v/>
      </c>
      <c r="K138" s="5" t="str">
        <f>IFERROR(IF(J138="ND","ND",baoliuxiaoshuwei(((J138-基础页!$B$25)*基础页!$B$16)/E138,2)),"")</f>
        <v/>
      </c>
    </row>
    <row r="139" ht="20.25" customHeight="1" spans="1:11">
      <c r="A139" s="3"/>
      <c r="I139" s="5" t="str">
        <f t="shared" si="2"/>
        <v/>
      </c>
      <c r="K139" s="5" t="str">
        <f>IFERROR(IF(J139="ND","ND",baoliuxiaoshuwei(((J139-基础页!$B$25)*基础页!$B$16)/E139,2)),"")</f>
        <v/>
      </c>
    </row>
    <row r="140" ht="20.25" customHeight="1" spans="1:11">
      <c r="A140" s="3"/>
      <c r="I140" s="5" t="str">
        <f t="shared" si="2"/>
        <v/>
      </c>
      <c r="K140" s="5" t="str">
        <f>IFERROR(IF(J140="ND","ND",baoliuxiaoshuwei(((J140-基础页!$B$25)*基础页!$B$16)/E140,2)),"")</f>
        <v/>
      </c>
    </row>
    <row r="141" ht="20.25" customHeight="1" spans="1:11">
      <c r="A141" s="3"/>
      <c r="I141" s="5" t="str">
        <f t="shared" si="2"/>
        <v/>
      </c>
      <c r="K141" s="5" t="str">
        <f>IFERROR(IF(J141="ND","ND",baoliuxiaoshuwei(((J141-基础页!$B$25)*基础页!$B$16)/E141,2)),"")</f>
        <v/>
      </c>
    </row>
    <row r="142" ht="20.25" customHeight="1" spans="1:11">
      <c r="A142" s="3"/>
      <c r="I142" s="5" t="str">
        <f t="shared" si="2"/>
        <v/>
      </c>
      <c r="K142" s="5" t="str">
        <f>IFERROR(IF(J142="ND","ND",baoliuxiaoshuwei(((J142-基础页!$B$25)*基础页!$B$16)/E142,2)),"")</f>
        <v/>
      </c>
    </row>
    <row r="143" ht="20.25" customHeight="1" spans="1:11">
      <c r="A143" s="3"/>
      <c r="I143" s="5" t="str">
        <f t="shared" si="2"/>
        <v/>
      </c>
      <c r="K143" s="5" t="str">
        <f>IFERROR(IF(J143="ND","ND",baoliuxiaoshuwei(((J143-基础页!$B$25)*基础页!$B$16)/E143,2)),"")</f>
        <v/>
      </c>
    </row>
    <row r="144" ht="20.25" customHeight="1" spans="1:11">
      <c r="A144" s="3"/>
      <c r="I144" s="5" t="str">
        <f t="shared" si="2"/>
        <v/>
      </c>
      <c r="K144" s="5" t="str">
        <f>IFERROR(IF(J144="ND","ND",baoliuxiaoshuwei(((J144-基础页!$B$25)*基础页!$B$16)/E144,2)),"")</f>
        <v/>
      </c>
    </row>
    <row r="145" ht="20.25" customHeight="1" spans="1:11">
      <c r="A145" s="3"/>
      <c r="I145" s="5" t="str">
        <f t="shared" si="2"/>
        <v/>
      </c>
      <c r="K145" s="5" t="str">
        <f>IFERROR(IF(J145="ND","ND",baoliuxiaoshuwei(((J145-基础页!$B$25)*基础页!$B$16)/E145,2)),"")</f>
        <v/>
      </c>
    </row>
    <row r="146" ht="20.25" customHeight="1" spans="1:11">
      <c r="A146" s="3"/>
      <c r="I146" s="5" t="str">
        <f t="shared" si="2"/>
        <v/>
      </c>
      <c r="K146" s="5" t="str">
        <f>IFERROR(IF(J146="ND","ND",baoliuxiaoshuwei(((J146-基础页!$B$25)*基础页!$B$16)/E146,2)),"")</f>
        <v/>
      </c>
    </row>
    <row r="147" ht="20.25" customHeight="1" spans="1:11">
      <c r="A147" s="3"/>
      <c r="I147" s="5" t="str">
        <f t="shared" si="2"/>
        <v/>
      </c>
      <c r="K147" s="5" t="str">
        <f>IFERROR(IF(J147="ND","ND",baoliuxiaoshuwei(((J147-基础页!$B$25)*基础页!$B$16)/E147,2)),"")</f>
        <v/>
      </c>
    </row>
    <row r="148" ht="20.25" customHeight="1" spans="1:11">
      <c r="A148" s="3"/>
      <c r="I148" s="5" t="str">
        <f t="shared" si="2"/>
        <v/>
      </c>
      <c r="K148" s="5" t="str">
        <f>IFERROR(IF(J148="ND","ND",baoliuxiaoshuwei(((J148-基础页!$B$25)*基础页!$B$16)/E148,2)),"")</f>
        <v/>
      </c>
    </row>
    <row r="149" ht="20.25" customHeight="1" spans="1:11">
      <c r="A149" s="3"/>
      <c r="I149" s="5" t="str">
        <f t="shared" si="2"/>
        <v/>
      </c>
      <c r="K149" s="5" t="str">
        <f>IFERROR(IF(J149="ND","ND",baoliuxiaoshuwei(((J149-基础页!$B$25)*基础页!$B$16)/E149,2)),"")</f>
        <v/>
      </c>
    </row>
    <row r="150" ht="20.25" customHeight="1" spans="1:11">
      <c r="A150" s="3"/>
      <c r="I150" s="5" t="str">
        <f t="shared" si="2"/>
        <v/>
      </c>
      <c r="K150" s="5" t="str">
        <f>IFERROR(IF(J150="ND","ND",baoliuxiaoshuwei(((J150-基础页!$B$25)*基础页!$B$16)/E150,2)),"")</f>
        <v/>
      </c>
    </row>
    <row r="151" ht="20.25" customHeight="1" spans="1:11">
      <c r="A151" s="3"/>
      <c r="I151" s="5" t="str">
        <f t="shared" si="2"/>
        <v/>
      </c>
      <c r="K151" s="5" t="str">
        <f>IFERROR(IF(J151="ND","ND",baoliuxiaoshuwei(((J151-基础页!$B$25)*基础页!$B$16)/E151,2)),"")</f>
        <v/>
      </c>
    </row>
    <row r="152" ht="20.25" customHeight="1" spans="1:11">
      <c r="A152" s="3"/>
      <c r="I152" s="5" t="str">
        <f t="shared" si="2"/>
        <v/>
      </c>
      <c r="K152" s="5" t="str">
        <f>IFERROR(IF(J152="ND","ND",baoliuxiaoshuwei(((J152-基础页!$B$25)*基础页!$B$16)/E152,2)),"")</f>
        <v/>
      </c>
    </row>
    <row r="153" ht="20.25" customHeight="1" spans="1:11">
      <c r="A153" s="3"/>
      <c r="I153" s="5" t="str">
        <f t="shared" si="2"/>
        <v/>
      </c>
      <c r="K153" s="5" t="str">
        <f>IFERROR(IF(J153="ND","ND",baoliuxiaoshuwei(((J153-基础页!$B$25)*基础页!$B$16)/E153,2)),"")</f>
        <v/>
      </c>
    </row>
    <row r="154" ht="20.25" customHeight="1" spans="1:11">
      <c r="A154" s="3"/>
      <c r="I154" s="5" t="str">
        <f t="shared" si="2"/>
        <v/>
      </c>
      <c r="K154" s="5" t="str">
        <f>IFERROR(IF(J154="ND","ND",baoliuxiaoshuwei(((J154-基础页!$B$25)*基础页!$B$16)/E154,2)),"")</f>
        <v/>
      </c>
    </row>
    <row r="155" ht="20.25" customHeight="1" spans="1:11">
      <c r="A155" s="3"/>
      <c r="I155" s="5" t="str">
        <f t="shared" si="2"/>
        <v/>
      </c>
      <c r="K155" s="5" t="str">
        <f>IFERROR(IF(J155="ND","ND",baoliuxiaoshuwei(((J155-基础页!$B$25)*基础页!$B$16)/E155,2)),"")</f>
        <v/>
      </c>
    </row>
    <row r="156" ht="20.25" customHeight="1" spans="1:11">
      <c r="A156" s="3"/>
      <c r="I156" s="5" t="str">
        <f t="shared" si="2"/>
        <v/>
      </c>
      <c r="K156" s="5" t="str">
        <f>IFERROR(IF(J156="ND","ND",baoliuxiaoshuwei(((J156-基础页!$B$25)*基础页!$B$16)/E156,2)),"")</f>
        <v/>
      </c>
    </row>
    <row r="157" ht="20.25" customHeight="1" spans="1:11">
      <c r="A157" s="3"/>
      <c r="I157" s="5" t="str">
        <f t="shared" si="2"/>
        <v/>
      </c>
      <c r="K157" s="5" t="str">
        <f>IFERROR(IF(J157="ND","ND",baoliuxiaoshuwei(((J157-基础页!$B$25)*基础页!$B$16)/E157,2)),"")</f>
        <v/>
      </c>
    </row>
    <row r="158" ht="20.25" customHeight="1" spans="1:11">
      <c r="A158" s="3"/>
      <c r="I158" s="5" t="str">
        <f t="shared" si="2"/>
        <v/>
      </c>
      <c r="K158" s="5" t="str">
        <f>IFERROR(IF(J158="ND","ND",baoliuxiaoshuwei(((J158-基础页!$B$25)*基础页!$B$16)/E158,2)),"")</f>
        <v/>
      </c>
    </row>
    <row r="159" ht="20.25" customHeight="1" spans="1:11">
      <c r="A159" s="3"/>
      <c r="I159" s="5" t="str">
        <f t="shared" si="2"/>
        <v/>
      </c>
      <c r="K159" s="5" t="str">
        <f>IFERROR(IF(J159="ND","ND",baoliuxiaoshuwei(((J159-基础页!$B$25)*基础页!$B$16)/E159,2)),"")</f>
        <v/>
      </c>
    </row>
    <row r="160" ht="20.25" customHeight="1" spans="1:11">
      <c r="A160" s="3"/>
      <c r="I160" s="5" t="str">
        <f t="shared" si="2"/>
        <v/>
      </c>
      <c r="K160" s="5" t="str">
        <f>IFERROR(IF(J160="ND","ND",baoliuxiaoshuwei(((J160-基础页!$B$25)*基础页!$B$16)/E160,2)),"")</f>
        <v/>
      </c>
    </row>
    <row r="161" ht="20.25" customHeight="1" spans="1:11">
      <c r="A161" s="3"/>
      <c r="I161" s="5" t="str">
        <f t="shared" si="2"/>
        <v/>
      </c>
      <c r="K161" s="5" t="str">
        <f>IFERROR(IF(J161="ND","ND",baoliuxiaoshuwei(((J161-基础页!$B$25)*基础页!$B$16)/E161,2)),"")</f>
        <v/>
      </c>
    </row>
    <row r="162" ht="20.25" customHeight="1" spans="1:11">
      <c r="A162" s="3"/>
      <c r="I162" s="5" t="str">
        <f t="shared" si="2"/>
        <v/>
      </c>
      <c r="K162" s="5" t="str">
        <f>IFERROR(IF(J162="ND","ND",baoliuxiaoshuwei(((J162-基础页!$B$25)*基础页!$B$16)/E162,2)),"")</f>
        <v/>
      </c>
    </row>
    <row r="163" ht="20.25" customHeight="1" spans="1:11">
      <c r="A163" s="3"/>
      <c r="I163" s="5" t="str">
        <f t="shared" si="2"/>
        <v/>
      </c>
      <c r="K163" s="5" t="str">
        <f>IFERROR(IF(J163="ND","ND",baoliuxiaoshuwei(((J163-基础页!$B$25)*基础页!$B$16)/E163,2)),"")</f>
        <v/>
      </c>
    </row>
    <row r="164" ht="20.25" customHeight="1" spans="1:11">
      <c r="A164" s="3"/>
      <c r="I164" s="5" t="str">
        <f t="shared" si="2"/>
        <v/>
      </c>
      <c r="K164" s="5" t="str">
        <f>IFERROR(IF(J164="ND","ND",baoliuxiaoshuwei(((J164-基础页!$B$25)*基础页!$B$16)/E164,2)),"")</f>
        <v/>
      </c>
    </row>
    <row r="165" ht="20.25" customHeight="1" spans="1:11">
      <c r="A165" s="3"/>
      <c r="I165" s="5" t="str">
        <f t="shared" si="2"/>
        <v/>
      </c>
      <c r="K165" s="5" t="str">
        <f>IFERROR(IF(J165="ND","ND",baoliuxiaoshuwei(((J165-基础页!$B$25)*基础页!$B$16)/E165,2)),"")</f>
        <v/>
      </c>
    </row>
    <row r="166" ht="20.25" customHeight="1" spans="1:11">
      <c r="A166" s="3"/>
      <c r="I166" s="5" t="str">
        <f t="shared" si="2"/>
        <v/>
      </c>
      <c r="K166" s="5" t="str">
        <f>IFERROR(IF(J166="ND","ND",baoliuxiaoshuwei(((J166-基础页!$B$25)*基础页!$B$16)/E166,2)),"")</f>
        <v/>
      </c>
    </row>
    <row r="167" ht="20.25" customHeight="1" spans="1:11">
      <c r="A167" s="3"/>
      <c r="I167" s="5" t="str">
        <f t="shared" si="2"/>
        <v/>
      </c>
      <c r="K167" s="5" t="str">
        <f>IFERROR(IF(J167="ND","ND",baoliuxiaoshuwei(((J167-基础页!$B$25)*基础页!$B$16)/E167,2)),"")</f>
        <v/>
      </c>
    </row>
    <row r="168" ht="20.25" customHeight="1" spans="1:11">
      <c r="A168" s="3"/>
      <c r="I168" s="5" t="str">
        <f t="shared" si="2"/>
        <v/>
      </c>
      <c r="K168" s="5" t="str">
        <f>IFERROR(IF(J168="ND","ND",baoliuxiaoshuwei(((J168-基础页!$B$25)*基础页!$B$16)/E168,2)),"")</f>
        <v/>
      </c>
    </row>
    <row r="169" ht="20.25" customHeight="1" spans="1:11">
      <c r="A169" s="3"/>
      <c r="I169" s="5" t="str">
        <f t="shared" si="2"/>
        <v/>
      </c>
      <c r="K169" s="5" t="str">
        <f>IFERROR(IF(J169="ND","ND",baoliuxiaoshuwei(((J169-基础页!$B$25)*基础页!$B$16)/E169,2)),"")</f>
        <v/>
      </c>
    </row>
    <row r="170" ht="20.25" customHeight="1" spans="1:11">
      <c r="A170" s="3"/>
      <c r="I170" s="5" t="str">
        <f t="shared" si="2"/>
        <v/>
      </c>
      <c r="K170" s="5" t="str">
        <f>IFERROR(IF(J170="ND","ND",baoliuxiaoshuwei(((J170-基础页!$B$25)*基础页!$B$16)/E170,2)),"")</f>
        <v/>
      </c>
    </row>
    <row r="171" ht="20.25" customHeight="1" spans="1:11">
      <c r="A171" s="3"/>
      <c r="I171" s="5" t="str">
        <f t="shared" si="2"/>
        <v/>
      </c>
      <c r="K171" s="5" t="str">
        <f>IFERROR(IF(J171="ND","ND",baoliuxiaoshuwei(((J171-基础页!$B$25)*基础页!$B$16)/E171,2)),"")</f>
        <v/>
      </c>
    </row>
    <row r="172" ht="20.25" customHeight="1" spans="1:11">
      <c r="A172" s="3"/>
      <c r="I172" s="5" t="str">
        <f t="shared" si="2"/>
        <v/>
      </c>
      <c r="K172" s="5" t="str">
        <f>IFERROR(IF(J172="ND","ND",baoliuxiaoshuwei(((J172-基础页!$B$25)*基础页!$B$16)/E172,2)),"")</f>
        <v/>
      </c>
    </row>
    <row r="173" ht="20.25" customHeight="1" spans="1:11">
      <c r="A173" s="3"/>
      <c r="I173" s="5" t="str">
        <f t="shared" si="2"/>
        <v/>
      </c>
      <c r="K173" s="5" t="str">
        <f>IFERROR(IF(J173="ND","ND",baoliuxiaoshuwei(((J173-基础页!$B$25)*基础页!$B$16)/E173,2)),"")</f>
        <v/>
      </c>
    </row>
    <row r="174" ht="20.25" customHeight="1" spans="1:11">
      <c r="A174" s="3"/>
      <c r="I174" s="5" t="str">
        <f t="shared" si="2"/>
        <v/>
      </c>
      <c r="K174" s="5" t="str">
        <f>IFERROR(IF(J174="ND","ND",baoliuxiaoshuwei(((J174-基础页!$B$25)*基础页!$B$16)/E174,2)),"")</f>
        <v/>
      </c>
    </row>
    <row r="175" ht="20.25" customHeight="1" spans="1:11">
      <c r="A175" s="3"/>
      <c r="I175" s="5" t="str">
        <f t="shared" si="2"/>
        <v/>
      </c>
      <c r="K175" s="5" t="str">
        <f>IFERROR(IF(J175="ND","ND",baoliuxiaoshuwei(((J175-基础页!$B$25)*基础页!$B$16)/E175,2)),"")</f>
        <v/>
      </c>
    </row>
    <row r="176" ht="20.25" customHeight="1" spans="1:11">
      <c r="A176" s="3"/>
      <c r="I176" s="5" t="str">
        <f t="shared" si="2"/>
        <v/>
      </c>
      <c r="K176" s="5" t="str">
        <f>IFERROR(IF(J176="ND","ND",baoliuxiaoshuwei(((J176-基础页!$B$25)*基础页!$B$16)/E176,2)),"")</f>
        <v/>
      </c>
    </row>
    <row r="177" ht="20.25" customHeight="1" spans="1:11">
      <c r="A177" s="3"/>
      <c r="I177" s="5" t="str">
        <f t="shared" si="2"/>
        <v/>
      </c>
      <c r="K177" s="5" t="str">
        <f>IFERROR(IF(J177="ND","ND",baoliuxiaoshuwei(((J177-基础页!$B$25)*基础页!$B$16)/E177,2)),"")</f>
        <v/>
      </c>
    </row>
    <row r="178" ht="20.25" customHeight="1" spans="1:11">
      <c r="A178" s="3"/>
      <c r="I178" s="5" t="str">
        <f t="shared" si="2"/>
        <v/>
      </c>
      <c r="K178" s="5" t="str">
        <f>IFERROR(IF(J178="ND","ND",baoliuxiaoshuwei(((J178-基础页!$B$25)*基础页!$B$16)/E178,2)),"")</f>
        <v/>
      </c>
    </row>
    <row r="179" ht="20.25" customHeight="1" spans="1:11">
      <c r="A179" s="3"/>
      <c r="I179" s="5" t="str">
        <f t="shared" si="2"/>
        <v/>
      </c>
      <c r="K179" s="5" t="str">
        <f>IFERROR(IF(J179="ND","ND",baoliuxiaoshuwei(((J179-基础页!$B$25)*基础页!$B$16)/E179,2)),"")</f>
        <v/>
      </c>
    </row>
    <row r="180" ht="20.25" customHeight="1" spans="1:11">
      <c r="A180" s="3"/>
      <c r="I180" s="5" t="str">
        <f t="shared" si="2"/>
        <v/>
      </c>
      <c r="K180" s="5" t="str">
        <f>IFERROR(IF(J180="ND","ND",baoliuxiaoshuwei(((J180-基础页!$B$25)*基础页!$B$16)/E180,2)),"")</f>
        <v/>
      </c>
    </row>
    <row r="181" ht="20.25" customHeight="1" spans="1:11">
      <c r="A181" s="3"/>
      <c r="I181" s="5" t="str">
        <f t="shared" si="2"/>
        <v/>
      </c>
      <c r="K181" s="5" t="str">
        <f>IFERROR(IF(J181="ND","ND",baoliuxiaoshuwei(((J181-基础页!$B$25)*基础页!$B$16)/E181,2)),"")</f>
        <v/>
      </c>
    </row>
    <row r="182" ht="20.25" customHeight="1" spans="1:11">
      <c r="A182" s="3"/>
      <c r="I182" s="5" t="str">
        <f t="shared" si="2"/>
        <v/>
      </c>
      <c r="K182" s="5" t="str">
        <f>IFERROR(IF(J182="ND","ND",baoliuxiaoshuwei(((J182-基础页!$B$25)*基础页!$B$16)/E182,2)),"")</f>
        <v/>
      </c>
    </row>
    <row r="183" ht="20.25" customHeight="1" spans="1:11">
      <c r="A183" s="3"/>
      <c r="I183" s="5" t="str">
        <f t="shared" si="2"/>
        <v/>
      </c>
      <c r="K183" s="5" t="str">
        <f>IFERROR(IF(J183="ND","ND",baoliuxiaoshuwei(((J183-基础页!$B$25)*基础页!$B$16)/E183,2)),"")</f>
        <v/>
      </c>
    </row>
    <row r="184" ht="20.25" customHeight="1" spans="1:11">
      <c r="A184" s="3"/>
      <c r="I184" s="5" t="str">
        <f t="shared" si="2"/>
        <v/>
      </c>
      <c r="K184" s="5" t="str">
        <f>IFERROR(IF(J184="ND","ND",baoliuxiaoshuwei(((J184-基础页!$B$25)*基础页!$B$16)/E184,2)),"")</f>
        <v/>
      </c>
    </row>
    <row r="185" ht="20.25" customHeight="1" spans="1:11">
      <c r="A185" s="3"/>
      <c r="I185" s="5" t="str">
        <f t="shared" si="2"/>
        <v/>
      </c>
      <c r="K185" s="5" t="str">
        <f>IFERROR(IF(J185="ND","ND",baoliuxiaoshuwei(((J185-基础页!$B$25)*基础页!$B$16)/E185,2)),"")</f>
        <v/>
      </c>
    </row>
    <row r="186" ht="20.25" customHeight="1" spans="1:11">
      <c r="A186" s="3"/>
      <c r="I186" s="5" t="str">
        <f t="shared" si="2"/>
        <v/>
      </c>
      <c r="K186" s="5" t="str">
        <f>IFERROR(IF(J186="ND","ND",baoliuxiaoshuwei(((J186-基础页!$B$25)*基础页!$B$16)/E186,2)),"")</f>
        <v/>
      </c>
    </row>
    <row r="187" ht="20.25" customHeight="1" spans="1:11">
      <c r="A187" s="3"/>
      <c r="I187" s="5" t="str">
        <f t="shared" si="2"/>
        <v/>
      </c>
      <c r="K187" s="5" t="str">
        <f>IFERROR(IF(J187="ND","ND",baoliuxiaoshuwei(((J187-基础页!$B$25)*基础页!$B$16)/E187,2)),"")</f>
        <v/>
      </c>
    </row>
    <row r="188" ht="20.25" customHeight="1" spans="1:11">
      <c r="A188" s="3"/>
      <c r="I188" s="5" t="str">
        <f t="shared" si="2"/>
        <v/>
      </c>
      <c r="K188" s="5" t="str">
        <f>IFERROR(IF(J188="ND","ND",baoliuxiaoshuwei(((J188-基础页!$B$25)*基础页!$B$16)/E188,2)),"")</f>
        <v/>
      </c>
    </row>
    <row r="189" ht="20.25" customHeight="1" spans="1:11">
      <c r="A189" s="3"/>
      <c r="I189" s="5" t="str">
        <f t="shared" si="2"/>
        <v/>
      </c>
      <c r="K189" s="5" t="str">
        <f>IFERROR(IF(J189="ND","ND",baoliuxiaoshuwei(((J189-基础页!$B$25)*基础页!$B$16)/E189,2)),"")</f>
        <v/>
      </c>
    </row>
    <row r="190" ht="20.25" customHeight="1" spans="1:11">
      <c r="A190" s="3"/>
      <c r="I190" s="5" t="str">
        <f t="shared" si="2"/>
        <v/>
      </c>
      <c r="K190" s="5" t="str">
        <f>IFERROR(IF(J190="ND","ND",baoliuxiaoshuwei(((J190-基础页!$B$25)*基础页!$B$16)/E190,2)),"")</f>
        <v/>
      </c>
    </row>
    <row r="191" ht="20.25" customHeight="1" spans="1:11">
      <c r="A191" s="3"/>
      <c r="I191" s="5" t="str">
        <f t="shared" si="2"/>
        <v/>
      </c>
      <c r="K191" s="5" t="str">
        <f>IFERROR(IF(J191="ND","ND",baoliuxiaoshuwei(((J191-基础页!$B$25)*基础页!$B$16)/E191,2)),"")</f>
        <v/>
      </c>
    </row>
    <row r="192" ht="20.25" customHeight="1" spans="1:11">
      <c r="A192" s="3"/>
      <c r="I192" s="5" t="str">
        <f t="shared" si="2"/>
        <v/>
      </c>
      <c r="K192" s="5" t="str">
        <f>IFERROR(IF(J192="ND","ND",baoliuxiaoshuwei(((J192-基础页!$B$25)*基础页!$B$16)/E192,2)),"")</f>
        <v/>
      </c>
    </row>
    <row r="193" ht="20.25" customHeight="1" spans="1:11">
      <c r="A193" s="3"/>
      <c r="I193" s="5" t="str">
        <f t="shared" si="2"/>
        <v/>
      </c>
      <c r="K193" s="5" t="str">
        <f>IFERROR(IF(J193="ND","ND",baoliuxiaoshuwei(((J193-基础页!$B$25)*基础页!$B$16)/E193,2)),"")</f>
        <v/>
      </c>
    </row>
    <row r="194" ht="20.25" customHeight="1" spans="1:11">
      <c r="A194" s="3"/>
      <c r="I194" s="5" t="str">
        <f t="shared" si="2"/>
        <v/>
      </c>
      <c r="K194" s="5" t="str">
        <f>IFERROR(IF(J194="ND","ND",baoliuxiaoshuwei(((J194-基础页!$B$25)*基础页!$B$16)/E194,2)),"")</f>
        <v/>
      </c>
    </row>
    <row r="195" ht="20.25" customHeight="1" spans="1:11">
      <c r="A195" s="3"/>
      <c r="I195" s="5" t="str">
        <f t="shared" si="2"/>
        <v/>
      </c>
      <c r="K195" s="5" t="str">
        <f>IFERROR(IF(J195="ND","ND",baoliuxiaoshuwei(((J195-基础页!$B$25)*基础页!$B$16)/E195,2)),"")</f>
        <v/>
      </c>
    </row>
    <row r="196" ht="20.25" customHeight="1" spans="1:11">
      <c r="A196" s="3"/>
      <c r="I196" s="5" t="str">
        <f t="shared" si="2"/>
        <v/>
      </c>
      <c r="K196" s="5" t="str">
        <f>IFERROR(IF(J196="ND","ND",baoliuxiaoshuwei(((J196-基础页!$B$25)*基础页!$B$16)/E196,2)),"")</f>
        <v/>
      </c>
    </row>
    <row r="197" ht="20.25" customHeight="1" spans="1:11">
      <c r="A197" s="3"/>
      <c r="I197" s="5" t="str">
        <f t="shared" si="2"/>
        <v/>
      </c>
      <c r="K197" s="5" t="str">
        <f>IFERROR(IF(J197="ND","ND",baoliuxiaoshuwei(((J197-基础页!$B$25)*基础页!$B$16)/E197,2)),"")</f>
        <v/>
      </c>
    </row>
    <row r="198" ht="20.25" customHeight="1" spans="1:11">
      <c r="A198" s="3"/>
      <c r="I198" s="5" t="str">
        <f t="shared" ref="I198:I255" si="3">IFERROR(IF(ISBLANK(J198),"",IF(K198="ND","否","是")),"")</f>
        <v/>
      </c>
      <c r="K198" s="5" t="str">
        <f>IFERROR(IF(J198="ND","ND",baoliuxiaoshuwei(((J198-基础页!$B$25)*基础页!$B$16)/E198,2)),"")</f>
        <v/>
      </c>
    </row>
    <row r="199" ht="20.25" customHeight="1" spans="1:11">
      <c r="A199" s="3"/>
      <c r="I199" s="5" t="str">
        <f t="shared" si="3"/>
        <v/>
      </c>
      <c r="K199" s="5" t="str">
        <f>IFERROR(IF(J199="ND","ND",baoliuxiaoshuwei(((J199-基础页!$B$25)*基础页!$B$16)/E199,2)),"")</f>
        <v/>
      </c>
    </row>
    <row r="200" ht="20.25" customHeight="1" spans="1:11">
      <c r="A200" s="3"/>
      <c r="I200" s="5" t="str">
        <f t="shared" si="3"/>
        <v/>
      </c>
      <c r="K200" s="5" t="str">
        <f>IFERROR(IF(J200="ND","ND",baoliuxiaoshuwei(((J200-基础页!$B$25)*基础页!$B$16)/E200,2)),"")</f>
        <v/>
      </c>
    </row>
    <row r="201" ht="20.25" customHeight="1" spans="1:11">
      <c r="A201" s="3"/>
      <c r="I201" s="5" t="str">
        <f t="shared" si="3"/>
        <v/>
      </c>
      <c r="K201" s="5" t="str">
        <f>IFERROR(IF(J201="ND","ND",baoliuxiaoshuwei(((J201-基础页!$B$25)*基础页!$B$16)/E201,2)),"")</f>
        <v/>
      </c>
    </row>
    <row r="202" ht="20.25" customHeight="1" spans="1:11">
      <c r="A202" s="3"/>
      <c r="I202" s="5" t="str">
        <f t="shared" si="3"/>
        <v/>
      </c>
      <c r="K202" s="5" t="str">
        <f>IFERROR(IF(J202="ND","ND",baoliuxiaoshuwei(((J202-基础页!$B$25)*基础页!$B$16)/E202,2)),"")</f>
        <v/>
      </c>
    </row>
    <row r="203" ht="20.25" customHeight="1" spans="1:11">
      <c r="A203" s="3"/>
      <c r="I203" s="5" t="str">
        <f t="shared" si="3"/>
        <v/>
      </c>
      <c r="K203" s="5" t="str">
        <f>IFERROR(IF(J203="ND","ND",baoliuxiaoshuwei(((J203-基础页!$B$25)*基础页!$B$16)/E203,2)),"")</f>
        <v/>
      </c>
    </row>
    <row r="204" ht="20.25" customHeight="1" spans="1:11">
      <c r="A204" s="3"/>
      <c r="I204" s="5" t="str">
        <f t="shared" si="3"/>
        <v/>
      </c>
      <c r="K204" s="5" t="str">
        <f>IFERROR(IF(J204="ND","ND",baoliuxiaoshuwei(((J204-基础页!$B$25)*基础页!$B$16)/E204,2)),"")</f>
        <v/>
      </c>
    </row>
    <row r="205" ht="20.25" customHeight="1" spans="1:11">
      <c r="A205" s="3"/>
      <c r="I205" s="5" t="str">
        <f t="shared" si="3"/>
        <v/>
      </c>
      <c r="K205" s="5" t="str">
        <f>IFERROR(IF(J205="ND","ND",baoliuxiaoshuwei(((J205-基础页!$B$25)*基础页!$B$16)/E205,2)),"")</f>
        <v/>
      </c>
    </row>
    <row r="206" ht="20.25" customHeight="1" spans="1:11">
      <c r="A206" s="3"/>
      <c r="I206" s="5" t="str">
        <f t="shared" si="3"/>
        <v/>
      </c>
      <c r="K206" s="5" t="str">
        <f>IFERROR(IF(J206="ND","ND",baoliuxiaoshuwei(((J206-基础页!$B$25)*基础页!$B$16)/E206,2)),"")</f>
        <v/>
      </c>
    </row>
    <row r="207" ht="20.25" customHeight="1" spans="1:11">
      <c r="A207" s="3"/>
      <c r="I207" s="5" t="str">
        <f t="shared" si="3"/>
        <v/>
      </c>
      <c r="K207" s="5" t="str">
        <f>IFERROR(IF(J207="ND","ND",baoliuxiaoshuwei(((J207-基础页!$B$25)*基础页!$B$16)/E207,2)),"")</f>
        <v/>
      </c>
    </row>
    <row r="208" ht="20.25" customHeight="1" spans="1:11">
      <c r="A208" s="3"/>
      <c r="I208" s="5" t="str">
        <f t="shared" si="3"/>
        <v/>
      </c>
      <c r="K208" s="5" t="str">
        <f>IFERROR(IF(J208="ND","ND",baoliuxiaoshuwei(((J208-基础页!$B$25)*基础页!$B$16)/E208,2)),"")</f>
        <v/>
      </c>
    </row>
    <row r="209" ht="20.25" customHeight="1" spans="1:11">
      <c r="A209" s="3"/>
      <c r="I209" s="5" t="str">
        <f t="shared" si="3"/>
        <v/>
      </c>
      <c r="K209" s="5" t="str">
        <f>IFERROR(IF(J209="ND","ND",baoliuxiaoshuwei(((J209-基础页!$B$25)*基础页!$B$16)/E209,2)),"")</f>
        <v/>
      </c>
    </row>
    <row r="210" ht="20.25" customHeight="1" spans="1:11">
      <c r="A210" s="3"/>
      <c r="I210" s="5" t="str">
        <f t="shared" si="3"/>
        <v/>
      </c>
      <c r="K210" s="5" t="str">
        <f>IFERROR(IF(J210="ND","ND",baoliuxiaoshuwei(((J210-基础页!$B$25)*基础页!$B$16)/E210,2)),"")</f>
        <v/>
      </c>
    </row>
    <row r="211" ht="20.25" customHeight="1" spans="1:11">
      <c r="A211" s="3"/>
      <c r="I211" s="5" t="str">
        <f t="shared" si="3"/>
        <v/>
      </c>
      <c r="K211" s="5" t="str">
        <f>IFERROR(IF(J211="ND","ND",baoliuxiaoshuwei(((J211-基础页!$B$25)*基础页!$B$16)/E211,2)),"")</f>
        <v/>
      </c>
    </row>
    <row r="212" ht="20.25" customHeight="1" spans="1:11">
      <c r="A212" s="3"/>
      <c r="I212" s="5" t="str">
        <f t="shared" si="3"/>
        <v/>
      </c>
      <c r="K212" s="5" t="str">
        <f>IFERROR(IF(J212="ND","ND",baoliuxiaoshuwei(((J212-基础页!$B$25)*基础页!$B$16)/E212,2)),"")</f>
        <v/>
      </c>
    </row>
    <row r="213" ht="20.25" customHeight="1" spans="1:11">
      <c r="A213" s="3"/>
      <c r="I213" s="5" t="str">
        <f t="shared" si="3"/>
        <v/>
      </c>
      <c r="K213" s="5" t="str">
        <f>IFERROR(IF(J213="ND","ND",baoliuxiaoshuwei(((J213-基础页!$B$25)*基础页!$B$16)/E213,2)),"")</f>
        <v/>
      </c>
    </row>
    <row r="214" ht="20.25" customHeight="1" spans="1:11">
      <c r="A214" s="3"/>
      <c r="I214" s="5" t="str">
        <f t="shared" si="3"/>
        <v/>
      </c>
      <c r="K214" s="5" t="str">
        <f>IFERROR(IF(J214="ND","ND",baoliuxiaoshuwei(((J214-基础页!$B$25)*基础页!$B$16)/E214,2)),"")</f>
        <v/>
      </c>
    </row>
    <row r="215" ht="20.25" customHeight="1" spans="1:11">
      <c r="A215" s="3"/>
      <c r="I215" s="5" t="str">
        <f t="shared" si="3"/>
        <v/>
      </c>
      <c r="K215" s="5" t="str">
        <f>IFERROR(IF(J215="ND","ND",baoliuxiaoshuwei(((J215-基础页!$B$25)*基础页!$B$16)/E215,2)),"")</f>
        <v/>
      </c>
    </row>
    <row r="216" ht="20.25" customHeight="1" spans="1:11">
      <c r="A216" s="3"/>
      <c r="I216" s="5" t="str">
        <f t="shared" si="3"/>
        <v/>
      </c>
      <c r="K216" s="5" t="str">
        <f>IFERROR(IF(J216="ND","ND",baoliuxiaoshuwei(((J216-基础页!$B$25)*基础页!$B$16)/E216,2)),"")</f>
        <v/>
      </c>
    </row>
    <row r="217" ht="20.25" customHeight="1" spans="1:11">
      <c r="A217" s="3"/>
      <c r="I217" s="5" t="str">
        <f t="shared" si="3"/>
        <v/>
      </c>
      <c r="K217" s="5" t="str">
        <f>IFERROR(IF(J217="ND","ND",baoliuxiaoshuwei(((J217-基础页!$B$25)*基础页!$B$16)/E217,2)),"")</f>
        <v/>
      </c>
    </row>
    <row r="218" ht="20.25" customHeight="1" spans="1:11">
      <c r="A218" s="3"/>
      <c r="I218" s="5" t="str">
        <f t="shared" si="3"/>
        <v/>
      </c>
      <c r="K218" s="5" t="str">
        <f>IFERROR(IF(J218="ND","ND",baoliuxiaoshuwei(((J218-基础页!$B$25)*基础页!$B$16)/E218,2)),"")</f>
        <v/>
      </c>
    </row>
    <row r="219" ht="20.25" customHeight="1" spans="1:11">
      <c r="A219" s="3"/>
      <c r="I219" s="5" t="str">
        <f t="shared" si="3"/>
        <v/>
      </c>
      <c r="K219" s="5" t="str">
        <f>IFERROR(IF(J219="ND","ND",baoliuxiaoshuwei(((J219-基础页!$B$25)*基础页!$B$16)/E219,2)),"")</f>
        <v/>
      </c>
    </row>
    <row r="220" ht="20.25" customHeight="1" spans="1:11">
      <c r="A220" s="3"/>
      <c r="I220" s="5" t="str">
        <f t="shared" si="3"/>
        <v/>
      </c>
      <c r="K220" s="5" t="str">
        <f>IFERROR(IF(J220="ND","ND",baoliuxiaoshuwei(((J220-基础页!$B$25)*基础页!$B$16)/E220,2)),"")</f>
        <v/>
      </c>
    </row>
    <row r="221" ht="20.25" customHeight="1" spans="1:11">
      <c r="A221" s="3"/>
      <c r="I221" s="5" t="str">
        <f t="shared" si="3"/>
        <v/>
      </c>
      <c r="K221" s="5" t="str">
        <f>IFERROR(IF(J221="ND","ND",baoliuxiaoshuwei(((J221-基础页!$B$25)*基础页!$B$16)/E221,2)),"")</f>
        <v/>
      </c>
    </row>
    <row r="222" ht="20.25" customHeight="1" spans="1:11">
      <c r="A222" s="3"/>
      <c r="I222" s="5" t="str">
        <f t="shared" si="3"/>
        <v/>
      </c>
      <c r="K222" s="5" t="str">
        <f>IFERROR(IF(J222="ND","ND",baoliuxiaoshuwei(((J222-基础页!$B$25)*基础页!$B$16)/E222,2)),"")</f>
        <v/>
      </c>
    </row>
    <row r="223" ht="20.25" customHeight="1" spans="1:11">
      <c r="A223" s="3"/>
      <c r="I223" s="5" t="str">
        <f t="shared" si="3"/>
        <v/>
      </c>
      <c r="K223" s="5" t="str">
        <f>IFERROR(IF(J223="ND","ND",baoliuxiaoshuwei(((J223-基础页!$B$25)*基础页!$B$16)/E223,2)),"")</f>
        <v/>
      </c>
    </row>
    <row r="224" ht="20.25" customHeight="1" spans="1:11">
      <c r="A224" s="3"/>
      <c r="I224" s="5" t="str">
        <f t="shared" si="3"/>
        <v/>
      </c>
      <c r="K224" s="5" t="str">
        <f>IFERROR(IF(J224="ND","ND",baoliuxiaoshuwei(((J224-基础页!$B$25)*基础页!$B$16)/E224,2)),"")</f>
        <v/>
      </c>
    </row>
    <row r="225" ht="20.25" customHeight="1" spans="1:11">
      <c r="A225" s="3"/>
      <c r="I225" s="5" t="str">
        <f t="shared" si="3"/>
        <v/>
      </c>
      <c r="K225" s="5" t="str">
        <f>IFERROR(IF(J225="ND","ND",baoliuxiaoshuwei(((J225-基础页!$B$25)*基础页!$B$16)/E225,2)),"")</f>
        <v/>
      </c>
    </row>
    <row r="226" ht="20.25" customHeight="1" spans="1:11">
      <c r="A226" s="3"/>
      <c r="I226" s="5" t="str">
        <f t="shared" si="3"/>
        <v/>
      </c>
      <c r="K226" s="5" t="str">
        <f>IFERROR(IF(J226="ND","ND",baoliuxiaoshuwei(((J226-基础页!$B$25)*基础页!$B$16)/E226,2)),"")</f>
        <v/>
      </c>
    </row>
    <row r="227" ht="20.25" customHeight="1" spans="1:11">
      <c r="A227" s="3"/>
      <c r="I227" s="5" t="str">
        <f t="shared" si="3"/>
        <v/>
      </c>
      <c r="K227" s="5" t="str">
        <f>IFERROR(IF(J227="ND","ND",baoliuxiaoshuwei(((J227-基础页!$B$25)*基础页!$B$16)/E227,2)),"")</f>
        <v/>
      </c>
    </row>
    <row r="228" ht="20.25" customHeight="1" spans="1:11">
      <c r="A228" s="3"/>
      <c r="I228" s="5" t="str">
        <f t="shared" si="3"/>
        <v/>
      </c>
      <c r="K228" s="5" t="str">
        <f>IFERROR(IF(J228="ND","ND",baoliuxiaoshuwei(((J228-基础页!$B$25)*基础页!$B$16)/E228,2)),"")</f>
        <v/>
      </c>
    </row>
    <row r="229" ht="20.25" customHeight="1" spans="9:11">
      <c r="I229" s="5" t="str">
        <f t="shared" si="3"/>
        <v/>
      </c>
      <c r="K229" s="5" t="str">
        <f>IFERROR(IF(J229="ND","ND",baoliuxiaoshuwei(((J229-基础页!$B$25)*基础页!$B$16)/E229,2)),"")</f>
        <v/>
      </c>
    </row>
    <row r="230" ht="20.25" customHeight="1" spans="9:11">
      <c r="I230" s="5" t="str">
        <f t="shared" si="3"/>
        <v/>
      </c>
      <c r="K230" s="5" t="str">
        <f>IFERROR(IF(J230="ND","ND",baoliuxiaoshuwei(((J230-基础页!$B$25)*基础页!$B$16)/E230,2)),"")</f>
        <v/>
      </c>
    </row>
    <row r="231" ht="20.25" customHeight="1" spans="9:11">
      <c r="I231" s="5" t="str">
        <f t="shared" si="3"/>
        <v/>
      </c>
      <c r="K231" s="5" t="str">
        <f>IFERROR(IF(J231="ND","ND",baoliuxiaoshuwei(((J231-基础页!$B$25)*基础页!$B$16)/E231,2)),"")</f>
        <v/>
      </c>
    </row>
    <row r="232" ht="20.25" customHeight="1" spans="9:11">
      <c r="I232" s="5" t="str">
        <f t="shared" si="3"/>
        <v/>
      </c>
      <c r="K232" s="5" t="str">
        <f>IFERROR(IF(J232="ND","ND",baoliuxiaoshuwei(((J232-基础页!$B$25)*基础页!$B$16)/E232,2)),"")</f>
        <v/>
      </c>
    </row>
    <row r="233" ht="20.25" customHeight="1" spans="9:11">
      <c r="I233" s="5" t="str">
        <f t="shared" si="3"/>
        <v/>
      </c>
      <c r="K233" s="5" t="str">
        <f>IFERROR(IF(J233="ND","ND",baoliuxiaoshuwei(((J233-基础页!$B$25)*基础页!$B$16)/E233,2)),"")</f>
        <v/>
      </c>
    </row>
    <row r="234" ht="20.25" customHeight="1" spans="9:11">
      <c r="I234" s="5" t="str">
        <f t="shared" si="3"/>
        <v/>
      </c>
      <c r="K234" s="5" t="str">
        <f>IFERROR(IF(J234="ND","ND",baoliuxiaoshuwei(((J234-基础页!$B$25)*基础页!$B$16)/E234,2)),"")</f>
        <v/>
      </c>
    </row>
    <row r="235" ht="20.25" customHeight="1" spans="9:11">
      <c r="I235" s="5" t="str">
        <f t="shared" si="3"/>
        <v/>
      </c>
      <c r="K235" s="5" t="str">
        <f>IFERROR(IF(J235="ND","ND",baoliuxiaoshuwei(((J235-基础页!$B$25)*基础页!$B$16)/E235,2)),"")</f>
        <v/>
      </c>
    </row>
    <row r="236" ht="20.25" customHeight="1" spans="9:11">
      <c r="I236" s="5" t="str">
        <f t="shared" si="3"/>
        <v/>
      </c>
      <c r="K236" s="5" t="str">
        <f>IFERROR(IF(J236="ND","ND",baoliuxiaoshuwei(((J236-基础页!$B$25)*基础页!$B$16)/E236,2)),"")</f>
        <v/>
      </c>
    </row>
    <row r="237" ht="20.25" customHeight="1" spans="9:11">
      <c r="I237" s="5" t="str">
        <f t="shared" si="3"/>
        <v/>
      </c>
      <c r="K237" s="5" t="str">
        <f>IFERROR(IF(J237="ND","ND",baoliuxiaoshuwei(((J237-基础页!$B$25)*基础页!$B$16)/E237,2)),"")</f>
        <v/>
      </c>
    </row>
    <row r="238" ht="20.25" customHeight="1" spans="9:11">
      <c r="I238" s="5" t="str">
        <f t="shared" si="3"/>
        <v/>
      </c>
      <c r="K238" s="5" t="str">
        <f>IFERROR(IF(J238="ND","ND",baoliuxiaoshuwei(((J238-基础页!$B$25)*基础页!$B$16)/E238,2)),"")</f>
        <v/>
      </c>
    </row>
    <row r="239" ht="20.25" customHeight="1" spans="9:11">
      <c r="I239" s="5" t="str">
        <f t="shared" si="3"/>
        <v/>
      </c>
      <c r="K239" s="5" t="str">
        <f>IFERROR(IF(J239="ND","ND",baoliuxiaoshuwei(((J239-基础页!$B$25)*基础页!$B$16)/E239,2)),"")</f>
        <v/>
      </c>
    </row>
    <row r="240" ht="20.25" customHeight="1" spans="9:11">
      <c r="I240" s="5" t="str">
        <f t="shared" si="3"/>
        <v/>
      </c>
      <c r="K240" s="5" t="str">
        <f>IFERROR(IF(J240="ND","ND",baoliuxiaoshuwei(((J240-基础页!$B$25)*基础页!$B$16)/E240,2)),"")</f>
        <v/>
      </c>
    </row>
    <row r="241" ht="20.25" customHeight="1" spans="9:11">
      <c r="I241" s="5" t="str">
        <f t="shared" si="3"/>
        <v/>
      </c>
      <c r="K241" s="5" t="str">
        <f>IFERROR(IF(J241="ND","ND",baoliuxiaoshuwei(((J241-基础页!$B$25)*基础页!$B$16)/E241,2)),"")</f>
        <v/>
      </c>
    </row>
    <row r="242" ht="20.25" customHeight="1" spans="9:11">
      <c r="I242" s="5" t="str">
        <f t="shared" si="3"/>
        <v/>
      </c>
      <c r="K242" s="5" t="str">
        <f>IFERROR(IF(J242="ND","ND",baoliuxiaoshuwei(((J242-基础页!$B$25)*基础页!$B$16)/E242,2)),"")</f>
        <v/>
      </c>
    </row>
    <row r="243" ht="20.25" customHeight="1" spans="9:11">
      <c r="I243" s="5" t="str">
        <f t="shared" si="3"/>
        <v/>
      </c>
      <c r="K243" s="5" t="str">
        <f>IFERROR(IF(J243="ND","ND",baoliuxiaoshuwei(((J243-基础页!$B$25)*基础页!$B$16)/E243,2)),"")</f>
        <v/>
      </c>
    </row>
    <row r="244" ht="20.25" customHeight="1" spans="9:11">
      <c r="I244" s="5" t="str">
        <f t="shared" si="3"/>
        <v/>
      </c>
      <c r="K244" s="5" t="str">
        <f>IFERROR(IF(J244="ND","ND",baoliuxiaoshuwei(((J244-基础页!$B$25)*基础页!$B$16)/E244,2)),"")</f>
        <v/>
      </c>
    </row>
    <row r="245" ht="20.25" customHeight="1" spans="9:11">
      <c r="I245" s="5" t="str">
        <f t="shared" si="3"/>
        <v/>
      </c>
      <c r="K245" s="5" t="str">
        <f>IFERROR(IF(J245="ND","ND",baoliuxiaoshuwei(((J245-基础页!$B$25)*基础页!$B$16)/E245,2)),"")</f>
        <v/>
      </c>
    </row>
    <row r="246" ht="20.25" customHeight="1" spans="9:11">
      <c r="I246" s="5" t="str">
        <f t="shared" si="3"/>
        <v/>
      </c>
      <c r="K246" s="5" t="str">
        <f>IFERROR(IF(J246="ND","ND",baoliuxiaoshuwei(((J246-基础页!$B$25)*基础页!$B$16)/E246,2)),"")</f>
        <v/>
      </c>
    </row>
    <row r="247" ht="20.25" customHeight="1" spans="9:11">
      <c r="I247" s="5" t="str">
        <f t="shared" si="3"/>
        <v/>
      </c>
      <c r="K247" s="5" t="str">
        <f>IFERROR(IF(J247="ND","ND",baoliuxiaoshuwei(((J247-基础页!$B$25)*基础页!$B$16)/E247,2)),"")</f>
        <v/>
      </c>
    </row>
    <row r="248" ht="20.25" customHeight="1" spans="9:11">
      <c r="I248" s="5" t="str">
        <f t="shared" si="3"/>
        <v/>
      </c>
      <c r="K248" s="5" t="str">
        <f>IFERROR(IF(J248="ND","ND",baoliuxiaoshuwei(((J248-基础页!$B$25)*基础页!$B$16)/E248,2)),"")</f>
        <v/>
      </c>
    </row>
    <row r="249" ht="20.25" customHeight="1" spans="9:11">
      <c r="I249" s="5" t="str">
        <f t="shared" si="3"/>
        <v/>
      </c>
      <c r="K249" s="5" t="str">
        <f>IFERROR(IF(J249="ND","ND",baoliuxiaoshuwei(((J249-基础页!$B$25)*基础页!$B$16)/E249,2)),"")</f>
        <v/>
      </c>
    </row>
    <row r="250" ht="20.25" customHeight="1" spans="9:11">
      <c r="I250" s="5" t="str">
        <f t="shared" si="3"/>
        <v/>
      </c>
      <c r="K250" s="5" t="str">
        <f>IFERROR(IF(J250="ND","ND",baoliuxiaoshuwei(((J250-基础页!$B$25)*基础页!$B$16)/E250,2)),"")</f>
        <v/>
      </c>
    </row>
    <row r="251" ht="20.25" customHeight="1" spans="9:11">
      <c r="I251" s="5" t="str">
        <f t="shared" si="3"/>
        <v/>
      </c>
      <c r="K251" s="5" t="str">
        <f>IFERROR(IF(J251="ND","ND",baoliuxiaoshuwei(((J251-基础页!$B$25)*基础页!$B$16)/E251,2)),"")</f>
        <v/>
      </c>
    </row>
    <row r="252" ht="20.25" customHeight="1" spans="9:11">
      <c r="I252" s="5" t="str">
        <f t="shared" si="3"/>
        <v/>
      </c>
      <c r="K252" s="5" t="str">
        <f>IFERROR(IF(J252="ND","ND",baoliuxiaoshuwei(((J252-基础页!$B$25)*基础页!$B$16)/E252,2)),"")</f>
        <v/>
      </c>
    </row>
    <row r="253" ht="20.25" customHeight="1" spans="9:11">
      <c r="I253" s="5" t="str">
        <f t="shared" si="3"/>
        <v/>
      </c>
      <c r="K253" s="5" t="str">
        <f>IFERROR(IF(J253="ND","ND",baoliuxiaoshuwei(((J253-基础页!$B$25)*基础页!$B$16)/E253,2)),"")</f>
        <v/>
      </c>
    </row>
    <row r="254" ht="20.25" customHeight="1" spans="9:11">
      <c r="I254" s="5" t="str">
        <f t="shared" si="3"/>
        <v/>
      </c>
      <c r="K254" s="5" t="str">
        <f>IFERROR(IF(J254="ND","ND",baoliuxiaoshuwei(((J254-基础页!$B$25)*基础页!$B$16)/E254,2)),"")</f>
        <v/>
      </c>
    </row>
    <row r="255" ht="20.25" customHeight="1" spans="9:11">
      <c r="I255" s="5" t="str">
        <f t="shared" si="3"/>
        <v/>
      </c>
      <c r="K255" s="5" t="str">
        <f>IFERROR(IF(J255="ND","ND",baoliuxiaoshuwei(((J255-基础页!$B$25)*基础页!$B$16)/E255,2)),"")</f>
        <v/>
      </c>
    </row>
    <row r="256" ht="20.25" customHeight="1" spans="11:11">
      <c r="K256" s="5" t="str">
        <f>IFERROR(IF(J256="ND","ND",baoliuxiaoshuwei(((J256-基础页!$B$25)*基础页!$B$16)/E256,2)),"")</f>
        <v/>
      </c>
    </row>
    <row r="257" ht="20.25" customHeight="1" spans="11:11">
      <c r="K257" s="5" t="str">
        <f>IFERROR(IF(J257="ND","ND",baoliuxiaoshuwei(((J257-基础页!$B$25)*基础页!$B$16)/E257,2)),"")</f>
        <v/>
      </c>
    </row>
    <row r="258" ht="20.25" customHeight="1" spans="11:11">
      <c r="K258" s="5" t="str">
        <f>IFERROR(IF(J258="ND","ND",baoliuxiaoshuwei(((J258-基础页!$B$25)*基础页!$B$16)/E258,2)),"")</f>
        <v/>
      </c>
    </row>
    <row r="259" ht="20.25" customHeight="1" spans="11:11">
      <c r="K259" s="5" t="str">
        <f>IFERROR(IF(J259="ND","ND",baoliuxiaoshuwei(((J259-基础页!$B$25)*基础页!$B$16)/E259,2)),"")</f>
        <v/>
      </c>
    </row>
    <row r="260" ht="20.25" customHeight="1" spans="11:11">
      <c r="K260" s="5" t="str">
        <f>IFERROR(IF(J260="ND","ND",baoliuxiaoshuwei(((J260-基础页!$B$25)*基础页!$B$16)/E260,2)),"")</f>
        <v/>
      </c>
    </row>
    <row r="261" ht="20.25" customHeight="1" spans="11:11">
      <c r="K261" s="5" t="str">
        <f>IFERROR(IF(J261="ND","ND",baoliuxiaoshuwei(((J261-基础页!$B$25)*基础页!$B$16)/E261,2)),"")</f>
        <v/>
      </c>
    </row>
    <row r="262" ht="20.25" customHeight="1" spans="11:11">
      <c r="K262" s="5" t="str">
        <f>IFERROR(IF(J262="ND","ND",baoliuxiaoshuwei(((J262-基础页!$B$25)*基础页!$B$16)/E262,2)),"")</f>
        <v/>
      </c>
    </row>
    <row r="263" ht="20.25" customHeight="1" spans="11:11">
      <c r="K263" s="5" t="str">
        <f>IFERROR(IF(J263="ND","ND",baoliuxiaoshuwei(((J263-基础页!$B$25)*基础页!$B$16)/E263,2)),"")</f>
        <v/>
      </c>
    </row>
    <row r="264" ht="20.25" customHeight="1" spans="11:11">
      <c r="K264" s="5" t="str">
        <f>IFERROR(IF(J264="ND","ND",baoliuxiaoshuwei(((J264-基础页!$B$25)*基础页!$B$16)/E264,2)),"")</f>
        <v/>
      </c>
    </row>
    <row r="265" ht="20.25" customHeight="1" spans="11:11">
      <c r="K265" s="5" t="str">
        <f>IFERROR(IF(J265="ND","ND",baoliuxiaoshuwei(((J265-基础页!$B$25)*基础页!$B$16)/E265,2)),"")</f>
        <v/>
      </c>
    </row>
    <row r="266" ht="20.25" customHeight="1" spans="11:11">
      <c r="K266" s="5" t="str">
        <f>IFERROR(IF(J266="ND","ND",baoliuxiaoshuwei(((J266-基础页!$B$25)*基础页!$B$16)/E266,2)),"")</f>
        <v/>
      </c>
    </row>
    <row r="267" ht="20.25" customHeight="1" spans="11:11">
      <c r="K267" s="5" t="str">
        <f>IFERROR(IF(J267="ND","ND",baoliuxiaoshuwei(((J267-基础页!$B$25)*基础页!$B$16)/E267,2)),"")</f>
        <v/>
      </c>
    </row>
    <row r="268" ht="20.25" customHeight="1" spans="11:11">
      <c r="K268" s="5" t="str">
        <f>IFERROR(IF(J268="ND","ND",baoliuxiaoshuwei(((J268-基础页!$B$25)*基础页!$B$16)/E268,2)),"")</f>
        <v/>
      </c>
    </row>
    <row r="269" ht="20.25" customHeight="1" spans="11:11">
      <c r="K269" s="5" t="str">
        <f>IFERROR(IF(J269="ND","ND",baoliuxiaoshuwei(((J269-基础页!$B$25)*基础页!$B$16)/E269,2)),"")</f>
        <v/>
      </c>
    </row>
    <row r="270" ht="20.25" customHeight="1" spans="11:11">
      <c r="K270" s="5" t="str">
        <f>IFERROR(IF(J270="ND","ND",baoliuxiaoshuwei(((J270-基础页!$B$25)*基础页!$B$16)/E270,2)),"")</f>
        <v/>
      </c>
    </row>
    <row r="271" ht="20.25" customHeight="1" spans="11:11">
      <c r="K271" s="5" t="str">
        <f>IFERROR(IF(J271="ND","ND",baoliuxiaoshuwei(((J271-基础页!$B$25)*基础页!$B$16)/E271,2)),"")</f>
        <v/>
      </c>
    </row>
    <row r="272" ht="20.25" customHeight="1" spans="11:11">
      <c r="K272" s="5" t="str">
        <f>IFERROR(IF(J272="ND","ND",baoliuxiaoshuwei(((J272-基础页!$B$25)*基础页!$B$16)/E272,2)),"")</f>
        <v/>
      </c>
    </row>
    <row r="273" ht="20.25" customHeight="1" spans="11:11">
      <c r="K273" s="5" t="str">
        <f>IFERROR(IF(J273="ND","ND",baoliuxiaoshuwei(((J273-基础页!$B$25)*基础页!$B$16)/E273,2)),"")</f>
        <v/>
      </c>
    </row>
    <row r="274" ht="20.25" customHeight="1" spans="11:11">
      <c r="K274" s="5" t="str">
        <f>IFERROR(IF(J274="ND","ND",baoliuxiaoshuwei(((J274-基础页!$B$25)*基础页!$B$16)/E274,2)),"")</f>
        <v/>
      </c>
    </row>
    <row r="275" ht="20.25" customHeight="1" spans="11:11">
      <c r="K275" s="5" t="str">
        <f>IFERROR(IF(J275="ND","ND",baoliuxiaoshuwei(((J275-基础页!$B$25)*基础页!$B$16)/E275,2)),"")</f>
        <v/>
      </c>
    </row>
    <row r="276" ht="20.25" customHeight="1" spans="11:11">
      <c r="K276" s="5" t="str">
        <f>IFERROR(IF(J276="ND","ND",baoliuxiaoshuwei(((J276-基础页!$B$25)*基础页!$B$16)/E276,2)),"")</f>
        <v/>
      </c>
    </row>
    <row r="277" ht="20.25" customHeight="1" spans="11:11">
      <c r="K277" s="5" t="str">
        <f>IFERROR(IF(J277="ND","ND",baoliuxiaoshuwei(((J277-基础页!$B$25)*基础页!$B$16)/E277,2)),"")</f>
        <v/>
      </c>
    </row>
    <row r="278" ht="20.25" customHeight="1" spans="11:11">
      <c r="K278" s="5" t="str">
        <f>IFERROR(IF(J278="ND","ND",baoliuxiaoshuwei(((J278-基础页!$B$25)*基础页!$B$16)/E278,2)),"")</f>
        <v/>
      </c>
    </row>
    <row r="279" ht="20.25" customHeight="1" spans="11:11">
      <c r="K279" s="5" t="str">
        <f>IFERROR(IF(J279="ND","ND",baoliuxiaoshuwei(((J279-基础页!$B$25)*基础页!$B$16)/E279,2)),"")</f>
        <v/>
      </c>
    </row>
    <row r="280" ht="20.25" customHeight="1" spans="11:11">
      <c r="K280" s="5" t="str">
        <f>IFERROR(IF(J280="ND","ND",baoliuxiaoshuwei(((J280-基础页!$B$25)*基础页!$B$16)/E280,2)),"")</f>
        <v/>
      </c>
    </row>
    <row r="281" ht="20.25" customHeight="1" spans="11:11">
      <c r="K281" s="5" t="str">
        <f>IFERROR(IF(J281="ND","ND",baoliuxiaoshuwei(((J281-基础页!$B$25)*基础页!$B$16)/E281,2)),"")</f>
        <v/>
      </c>
    </row>
    <row r="282" ht="20.25" customHeight="1" spans="11:11">
      <c r="K282" s="5" t="str">
        <f>IFERROR(IF(J282="ND","ND",baoliuxiaoshuwei(((J282-基础页!$B$25)*基础页!$B$16)/E282,2)),"")</f>
        <v/>
      </c>
    </row>
    <row r="283" ht="20.25" customHeight="1" spans="11:11">
      <c r="K283" s="5" t="str">
        <f>IFERROR(IF(J283="ND","ND",baoliuxiaoshuwei(((J283-基础页!$B$25)*基础页!$B$16)/E283,2)),"")</f>
        <v/>
      </c>
    </row>
    <row r="284" ht="20.25" customHeight="1" spans="11:11">
      <c r="K284" s="5" t="str">
        <f>IFERROR(IF(J284="ND","ND",baoliuxiaoshuwei(((J284-基础页!$B$25)*基础页!$B$16)/E284,2)),"")</f>
        <v/>
      </c>
    </row>
    <row r="285" ht="20.25" customHeight="1" spans="11:11">
      <c r="K285" s="5" t="str">
        <f>IFERROR(IF(J285="ND","ND",baoliuxiaoshuwei(((J285-基础页!$B$25)*基础页!$B$16)/E285,2)),"")</f>
        <v/>
      </c>
    </row>
    <row r="286" ht="20.25" customHeight="1" spans="11:11">
      <c r="K286" s="5" t="str">
        <f>IFERROR(IF(J286="ND","ND",baoliuxiaoshuwei(((J286-基础页!$B$25)*基础页!$B$16)/E286,2)),"")</f>
        <v/>
      </c>
    </row>
    <row r="287" ht="20.25" customHeight="1" spans="11:11">
      <c r="K287" s="5" t="str">
        <f>IFERROR(IF(J287="ND","ND",baoliuxiaoshuwei(((J287-基础页!$B$25)*基础页!$B$16)/E287,2)),"")</f>
        <v/>
      </c>
    </row>
    <row r="288" ht="20.25" customHeight="1" spans="11:11">
      <c r="K288" s="5" t="str">
        <f>IFERROR(IF(J288="ND","ND",baoliuxiaoshuwei(((J288-基础页!$B$25)*基础页!$B$16)/E288,2)),"")</f>
        <v/>
      </c>
    </row>
    <row r="289" ht="20.25" customHeight="1" spans="11:11">
      <c r="K289" s="5" t="str">
        <f>IFERROR(IF(J289="ND","ND",baoliuxiaoshuwei(((J289-基础页!$B$25)*基础页!$B$16)/E289,2)),"")</f>
        <v/>
      </c>
    </row>
    <row r="290" ht="20.25" customHeight="1" spans="11:11">
      <c r="K290" s="5" t="str">
        <f>IFERROR(IF(J290="ND","ND",baoliuxiaoshuwei(((J290-基础页!$B$25)*基础页!$B$16)/E290,2)),"")</f>
        <v/>
      </c>
    </row>
    <row r="291" ht="20.25" customHeight="1" spans="11:11">
      <c r="K291" s="5" t="str">
        <f>IFERROR(IF(J291="ND","ND",baoliuxiaoshuwei(((J291-基础页!$B$25)*基础页!$B$16)/E291,2)),"")</f>
        <v/>
      </c>
    </row>
    <row r="292" ht="20.25" customHeight="1" spans="11:11">
      <c r="K292" s="5" t="str">
        <f>IFERROR(IF(J292="ND","ND",baoliuxiaoshuwei(((J292-基础页!$B$25)*基础页!$B$16)/E292,2)),"")</f>
        <v/>
      </c>
    </row>
    <row r="293" ht="20.25" customHeight="1" spans="11:11">
      <c r="K293" s="5" t="str">
        <f>IFERROR(IF(J293="ND","ND",baoliuxiaoshuwei(((J293-基础页!$B$25)*基础页!$B$16)/E293,2)),"")</f>
        <v/>
      </c>
    </row>
    <row r="294" ht="20.25" customHeight="1" spans="11:11">
      <c r="K294" s="5" t="str">
        <f>IFERROR(IF(J294="ND","ND",baoliuxiaoshuwei(((J294-基础页!$B$25)*基础页!$B$16)/E294,2)),"")</f>
        <v/>
      </c>
    </row>
    <row r="295" ht="20.25" customHeight="1" spans="11:11">
      <c r="K295" s="5" t="str">
        <f>IFERROR(IF(J295="ND","ND",baoliuxiaoshuwei(((J295-基础页!$B$25)*基础页!$B$16)/E295,2)),"")</f>
        <v/>
      </c>
    </row>
    <row r="296" ht="20.25" customHeight="1" spans="11:11">
      <c r="K296" s="5" t="str">
        <f>IFERROR(IF(J296="ND","ND",baoliuxiaoshuwei(((J296-基础页!$B$25)*基础页!$B$16)/E296,2)),"")</f>
        <v/>
      </c>
    </row>
    <row r="297" ht="20.25" customHeight="1" spans="11:11">
      <c r="K297" s="5" t="str">
        <f>IFERROR(IF(J297="ND","ND",baoliuxiaoshuwei(((J297-基础页!$B$25)*基础页!$B$16)/E297,2)),"")</f>
        <v/>
      </c>
    </row>
    <row r="298" ht="20.25" customHeight="1" spans="11:11">
      <c r="K298" s="5" t="str">
        <f>IFERROR(IF(J298="ND","ND",baoliuxiaoshuwei(((J298-基础页!$B$25)*基础页!$B$16)/E298,2)),"")</f>
        <v/>
      </c>
    </row>
    <row r="299" ht="20.25" customHeight="1" spans="11:11">
      <c r="K299" s="5" t="str">
        <f>IFERROR(IF(J299="ND","ND",baoliuxiaoshuwei(((J299-基础页!$B$25)*基础页!$B$16)/E299,2)),"")</f>
        <v/>
      </c>
    </row>
    <row r="300" ht="20.25" customHeight="1" spans="11:11">
      <c r="K300" s="5" t="str">
        <f>IFERROR(IF(J300="ND","ND",baoliuxiaoshuwei(((J300-基础页!$B$25)*基础页!$B$16)/E300,2)),"")</f>
        <v/>
      </c>
    </row>
    <row r="301" ht="20.25" customHeight="1" spans="11:11">
      <c r="K301" s="5" t="str">
        <f>IFERROR(IF(J301="ND","ND",baoliuxiaoshuwei(((J301-基础页!$B$25)*基础页!$B$16)/E301,2)),"")</f>
        <v/>
      </c>
    </row>
    <row r="302" ht="20.25" customHeight="1" spans="11:11">
      <c r="K302" s="5" t="str">
        <f>IFERROR(IF(J302="ND","ND",baoliuxiaoshuwei(((J302-基础页!$B$25)*基础页!$B$16)/E302,2)),"")</f>
        <v/>
      </c>
    </row>
    <row r="303" ht="20.25" customHeight="1" spans="11:11">
      <c r="K303" s="5" t="str">
        <f>IFERROR(IF(J303="ND","ND",baoliuxiaoshuwei(((J303-基础页!$B$25)*基础页!$B$16)/E303,2)),"")</f>
        <v/>
      </c>
    </row>
    <row r="304" ht="20.25" customHeight="1" spans="11:11">
      <c r="K304" s="5" t="str">
        <f>IFERROR(IF(J304="ND","ND",baoliuxiaoshuwei(((J304-基础页!$B$25)*基础页!$B$16)/E304,2)),"")</f>
        <v/>
      </c>
    </row>
    <row r="305" ht="20.25" customHeight="1" spans="11:11">
      <c r="K305" s="5" t="str">
        <f>IFERROR(IF(J305="ND","ND",baoliuxiaoshuwei(((J305-基础页!$B$25)*基础页!$B$16)/E305,2)),"")</f>
        <v/>
      </c>
    </row>
    <row r="306" ht="20.25" customHeight="1" spans="11:11">
      <c r="K306" s="5" t="str">
        <f>IFERROR(IF(J306="ND","ND",baoliuxiaoshuwei(((J306-基础页!$B$25)*基础页!$B$16)/E306,2)),"")</f>
        <v/>
      </c>
    </row>
    <row r="307" ht="20.25" customHeight="1" spans="11:11">
      <c r="K307" s="5" t="str">
        <f>IFERROR(IF(J307="ND","ND",baoliuxiaoshuwei(((J307-基础页!$B$25)*基础页!$B$16)/E307,2)),"")</f>
        <v/>
      </c>
    </row>
    <row r="308" ht="20.25" customHeight="1" spans="11:11">
      <c r="K308" s="5" t="str">
        <f>IFERROR(IF(J308="ND","ND",baoliuxiaoshuwei(((J308-基础页!$B$25)*基础页!$B$16)/E308,2)),"")</f>
        <v/>
      </c>
    </row>
    <row r="309" ht="20.25" customHeight="1" spans="11:11">
      <c r="K309" s="5" t="str">
        <f>IFERROR(IF(J309="ND","ND",baoliuxiaoshuwei(((J309-基础页!$B$25)*基础页!$B$16)/E309,2)),"")</f>
        <v/>
      </c>
    </row>
    <row r="310" ht="20.25" customHeight="1" spans="11:11">
      <c r="K310" s="5" t="str">
        <f>IFERROR(IF(J310="ND","ND",baoliuxiaoshuwei(((J310-基础页!$B$25)*基础页!$B$16)/E310,2)),"")</f>
        <v/>
      </c>
    </row>
    <row r="311" ht="20.25" customHeight="1" spans="11:11">
      <c r="K311" s="5" t="str">
        <f>IFERROR(IF(J311="ND","ND",baoliuxiaoshuwei(((J311-基础页!$B$25)*基础页!$B$16)/E311,2)),"")</f>
        <v/>
      </c>
    </row>
    <row r="312" ht="20.25" customHeight="1" spans="11:11">
      <c r="K312" s="5" t="str">
        <f>IFERROR(IF(J312="ND","ND",baoliuxiaoshuwei(((J312-基础页!$B$25)*基础页!$B$16)/E312,2)),"")</f>
        <v/>
      </c>
    </row>
    <row r="313" ht="20.25" customHeight="1" spans="11:11">
      <c r="K313" s="5" t="str">
        <f>IFERROR(IF(J313="ND","ND",baoliuxiaoshuwei(((J313-基础页!$B$25)*基础页!$B$16)/E313,2)),"")</f>
        <v/>
      </c>
    </row>
    <row r="314" ht="20.25" customHeight="1" spans="11:11">
      <c r="K314" s="5" t="str">
        <f>IFERROR(IF(J314="ND","ND",baoliuxiaoshuwei(((J314-基础页!$B$25)*基础页!$B$16)/E314,2)),"")</f>
        <v/>
      </c>
    </row>
    <row r="315" ht="20.25" customHeight="1" spans="11:11">
      <c r="K315" s="5" t="str">
        <f>IFERROR(IF(J315="ND","ND",baoliuxiaoshuwei(((J315-基础页!$B$25)*基础页!$B$16)/E315,2)),"")</f>
        <v/>
      </c>
    </row>
    <row r="316" ht="20.25" customHeight="1" spans="11:11">
      <c r="K316" s="5" t="str">
        <f>IFERROR(IF(J316="ND","ND",baoliuxiaoshuwei(((J316-基础页!$B$25)*基础页!$B$16)/E316,2)),"")</f>
        <v/>
      </c>
    </row>
    <row r="317" ht="20.25" customHeight="1" spans="11:11">
      <c r="K317" s="5" t="str">
        <f>IFERROR(IF(J317="ND","ND",baoliuxiaoshuwei(((J317-基础页!$B$25)*基础页!$B$16)/E317,2)),"")</f>
        <v/>
      </c>
    </row>
    <row r="318" ht="20.25" customHeight="1" spans="11:11">
      <c r="K318" s="5" t="str">
        <f>IFERROR(IF(J318="ND","ND",baoliuxiaoshuwei(((J318-基础页!$B$25)*基础页!$B$16)/E318,2)),"")</f>
        <v/>
      </c>
    </row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